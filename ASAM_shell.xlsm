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Dropbox\WIP\ASAM\ASAM_Regional-Economic-Contribution-analysis\"/>
    </mc:Choice>
  </mc:AlternateContent>
  <bookViews>
    <workbookView xWindow="72720" yWindow="0" windowWidth="17856" windowHeight="10440" tabRatio="794"/>
  </bookViews>
  <sheets>
    <sheet name="MacroHelp" sheetId="5" r:id="rId1"/>
    <sheet name="structure" sheetId="1596" state="hidden" r:id="rId2"/>
    <sheet name="tools" sheetId="917" r:id="rId3"/>
    <sheet name="FAQ" sheetId="4061" r:id="rId4"/>
    <sheet name="inputEMPL" sheetId="7526" state="hidden" r:id="rId5"/>
    <sheet name="SAM&gt;&gt;" sheetId="7527" r:id="rId6"/>
  </sheets>
  <functionGroups builtInGroupCount="18"/>
  <definedNames>
    <definedName name="barchart_limit">#REF!</definedName>
    <definedName name="copyright">tools!#REF!</definedName>
    <definedName name="dollars">tools!$G$4</definedName>
    <definedName name="employment">#REF!</definedName>
    <definedName name="Endogenous">#REF!</definedName>
    <definedName name="Exogenous">#REF!</definedName>
    <definedName name="GrossVA">#REF!</definedName>
    <definedName name="inverse">#REF!</definedName>
    <definedName name="linetotals">#REF!</definedName>
    <definedName name="mergeHouseholds">tools!$G$9</definedName>
    <definedName name="name" localSheetId="0">#REF!</definedName>
    <definedName name="piechart_limit">#REF!</definedName>
    <definedName name="sam" localSheetId="0">#REF!</definedName>
    <definedName name="structure">structure!$A$1:$K$41</definedName>
    <definedName name="table">#REF!</definedName>
    <definedName name="TY">#REF!</definedName>
    <definedName name="VACoefficient">#REF!</definedName>
    <definedName name="WageCoefficient">#REF!</definedName>
    <definedName name="wages">#REF!</definedName>
    <definedName name="Z">#REF!</definedName>
  </definedNames>
  <calcPr calcId="162913"/>
</workbook>
</file>

<file path=xl/calcChain.xml><?xml version="1.0" encoding="utf-8"?>
<calcChain xmlns="http://schemas.openxmlformats.org/spreadsheetml/2006/main">
  <c r="E27" i="1596" l="1"/>
  <c r="E41" i="1596"/>
  <c r="E9" i="1596"/>
  <c r="E36" i="1596"/>
  <c r="E35" i="1596"/>
  <c r="E26" i="1596"/>
  <c r="E37" i="1596"/>
  <c r="E34" i="1596"/>
  <c r="K33" i="1596"/>
  <c r="E33" i="1596"/>
  <c r="E3" i="1596"/>
  <c r="E4" i="1596"/>
  <c r="E5" i="1596"/>
  <c r="E6" i="1596"/>
  <c r="E7" i="1596"/>
  <c r="E8" i="1596"/>
  <c r="E10" i="1596"/>
  <c r="E11" i="1596"/>
  <c r="E12" i="1596"/>
  <c r="E13" i="1596"/>
  <c r="E14" i="1596"/>
  <c r="E15" i="1596"/>
  <c r="E16" i="1596"/>
  <c r="E17" i="1596"/>
  <c r="E18" i="1596"/>
  <c r="E19" i="1596"/>
  <c r="E20" i="1596"/>
  <c r="E21" i="1596"/>
  <c r="E22" i="1596"/>
  <c r="E23" i="1596"/>
  <c r="E24" i="1596"/>
  <c r="E25" i="1596"/>
  <c r="E28" i="1596"/>
  <c r="E29" i="1596"/>
  <c r="E30" i="1596"/>
  <c r="E39" i="1596"/>
  <c r="E40" i="1596"/>
  <c r="E31" i="1596"/>
  <c r="E32" i="1596"/>
  <c r="E38" i="1596"/>
  <c r="E2" i="1596"/>
  <c r="K38" i="1596"/>
  <c r="K31" i="1596"/>
  <c r="K40" i="1596"/>
  <c r="K39" i="1596"/>
  <c r="K30" i="1596"/>
  <c r="K21" i="1596"/>
  <c r="K7" i="1596"/>
  <c r="K5" i="1596"/>
  <c r="K3" i="1596"/>
  <c r="AG35" i="1596" l="1"/>
  <c r="AG16" i="1596"/>
  <c r="AG19" i="1596"/>
  <c r="AG21" i="1596"/>
  <c r="AG20" i="1596"/>
  <c r="AG14" i="1596"/>
  <c r="AG17" i="1596"/>
  <c r="AG18" i="1596"/>
  <c r="AG15" i="1596"/>
  <c r="AG13" i="1596"/>
  <c r="AG26" i="1596"/>
  <c r="AG3" i="1596"/>
  <c r="AG10" i="1596"/>
  <c r="AG4" i="1596"/>
  <c r="AG12" i="1596"/>
  <c r="AG6" i="1596"/>
  <c r="AG8" i="1596"/>
  <c r="AG5" i="1596"/>
  <c r="AG2" i="1596"/>
  <c r="AG9" i="1596"/>
  <c r="AG7" i="1596"/>
  <c r="AG11" i="1596"/>
</calcChain>
</file>

<file path=xl/comments1.xml><?xml version="1.0" encoding="utf-8"?>
<comments xmlns="http://schemas.openxmlformats.org/spreadsheetml/2006/main">
  <authors>
    <author>wim</author>
  </authors>
  <commentList>
    <comment ref="K1" authorId="0" shapeId="0">
      <text>
        <r>
          <rPr>
            <sz val="9"/>
            <color indexed="81"/>
            <rFont val="Tahoma"/>
            <family val="2"/>
          </rPr>
          <t xml:space="preserve">labels need to be unique (so not two columns with 'multiplier')
</t>
        </r>
      </text>
    </comment>
  </commentList>
</comments>
</file>

<file path=xl/sharedStrings.xml><?xml version="1.0" encoding="utf-8"?>
<sst xmlns="http://schemas.openxmlformats.org/spreadsheetml/2006/main" count="322" uniqueCount="242">
  <si>
    <t>http://www.mdmproofing.com/iym/macros.php</t>
  </si>
  <si>
    <t xml:space="preserve">    (see screenshots below)</t>
  </si>
  <si>
    <t>Value Added</t>
  </si>
  <si>
    <t>NAICS</t>
  </si>
  <si>
    <t>Base Output</t>
  </si>
  <si>
    <t>Exogenous</t>
  </si>
  <si>
    <t>Endogenous</t>
  </si>
  <si>
    <t>Create/Update Matrices</t>
  </si>
  <si>
    <t>Erase SAM</t>
  </si>
  <si>
    <t>This will delete all worksheets (bringing it back to template status) and will require you to again import data from an IMPLAN output.</t>
  </si>
  <si>
    <t>Save a functional Copy</t>
  </si>
  <si>
    <t>Creates a copy with the functionality, forms and macros - just like this workbook</t>
  </si>
  <si>
    <t>Save an archive copy (spread sheet only)</t>
  </si>
  <si>
    <t>Save a copy</t>
  </si>
  <si>
    <t>Create a project</t>
  </si>
  <si>
    <t>group</t>
  </si>
  <si>
    <t>%</t>
  </si>
  <si>
    <t>Employment</t>
  </si>
  <si>
    <t>sort</t>
  </si>
  <si>
    <t>Base</t>
  </si>
  <si>
    <t>Empl</t>
  </si>
  <si>
    <t>Coefficient</t>
  </si>
  <si>
    <t>Output</t>
  </si>
  <si>
    <t>Purchases</t>
  </si>
  <si>
    <t>Wages</t>
  </si>
  <si>
    <t>direct</t>
  </si>
  <si>
    <t>indirect</t>
  </si>
  <si>
    <t>gross</t>
  </si>
  <si>
    <t>% gross</t>
  </si>
  <si>
    <t xml:space="preserve"> % Base</t>
  </si>
  <si>
    <t>% base</t>
  </si>
  <si>
    <t>VA</t>
  </si>
  <si>
    <t>1stline</t>
  </si>
  <si>
    <t>2ndline</t>
  </si>
  <si>
    <t>mult</t>
  </si>
  <si>
    <t>tag</t>
  </si>
  <si>
    <t>Receipts</t>
  </si>
  <si>
    <t>GrossOutput</t>
  </si>
  <si>
    <t>BaseOutput</t>
  </si>
  <si>
    <t>GrossWages</t>
  </si>
  <si>
    <t>BaseEmpl</t>
  </si>
  <si>
    <t>multEmpl</t>
  </si>
  <si>
    <t>indirectEmpl</t>
  </si>
  <si>
    <t>directEmpl</t>
  </si>
  <si>
    <t>BaseWages</t>
  </si>
  <si>
    <t>directWages</t>
  </si>
  <si>
    <t>indirectWages</t>
  </si>
  <si>
    <t>WageCoefficient</t>
  </si>
  <si>
    <t>EndogenousPurchases</t>
  </si>
  <si>
    <t>format</t>
  </si>
  <si>
    <t>pVA</t>
  </si>
  <si>
    <t>pbaseWages</t>
  </si>
  <si>
    <t>pgrossWages</t>
  </si>
  <si>
    <t>pBaseEmpl</t>
  </si>
  <si>
    <t>pgrossEmpl</t>
  </si>
  <si>
    <t>pbase</t>
  </si>
  <si>
    <t>pgross</t>
  </si>
  <si>
    <t>0.0%</t>
  </si>
  <si>
    <t>0%</t>
  </si>
  <si>
    <t>0.000</t>
  </si>
  <si>
    <t>na</t>
  </si>
  <si>
    <t>_($* #,##0_)</t>
  </si>
  <si>
    <t>_(* #,##0_)</t>
  </si>
  <si>
    <t>RightBorder</t>
  </si>
  <si>
    <t>_(* #,##0.0_)</t>
  </si>
  <si>
    <t>multOutput</t>
  </si>
  <si>
    <t>order</t>
  </si>
  <si>
    <t>Manually input SAM and Employment data</t>
  </si>
  <si>
    <t>The descriptions (optional; they should be the same as in the sam) should be in column A</t>
  </si>
  <si>
    <t>2. Then return to the tools-sheet and click [Create Matrices]</t>
  </si>
  <si>
    <t>table</t>
  </si>
  <si>
    <t>Advanced</t>
  </si>
  <si>
    <t>Edit Structure</t>
  </si>
  <si>
    <t>Allows parameter setting for order and appearance of the dataset and outpu table</t>
  </si>
  <si>
    <t>Do's and don'ts</t>
  </si>
  <si>
    <t xml:space="preserve"> - changing the order will change the order of appearance in the tables</t>
  </si>
  <si>
    <t xml:space="preserve"> - changing first and/or second line will change the label of the column accordingly (there is a return between 1st and 2nd line)</t>
  </si>
  <si>
    <t xml:space="preserve"> - changing the format will do just that for that column</t>
  </si>
  <si>
    <t xml:space="preserve"> - border: 0=none; 1=hairline; 2=line;3=thick line</t>
  </si>
  <si>
    <t>label= 1stline + CR + 2ndline</t>
  </si>
  <si>
    <t>tlabel</t>
  </si>
  <si>
    <t>Sector</t>
  </si>
  <si>
    <t>End.Purch</t>
  </si>
  <si>
    <t xml:space="preserve"> - table: TRUE is hidden; 0 is show for that particular column</t>
  </si>
  <si>
    <t>mlabel</t>
  </si>
  <si>
    <t>Other</t>
  </si>
  <si>
    <t>direct base</t>
  </si>
  <si>
    <t>indirect base</t>
  </si>
  <si>
    <t>grossEmpl</t>
  </si>
  <si>
    <t>gross Empl</t>
  </si>
  <si>
    <t>gross Wages</t>
  </si>
  <si>
    <t>memo</t>
  </si>
  <si>
    <t xml:space="preserve">Jobs per </t>
  </si>
  <si>
    <t>jobsOutput</t>
  </si>
  <si>
    <t xml:space="preserve"> - memo: appears as a comment to the label</t>
  </si>
  <si>
    <t>jobs/$</t>
  </si>
  <si>
    <t>NOTE: Households will only be aggregated in the output table and charts, not in the datasheet</t>
  </si>
  <si>
    <t xml:space="preserve"> &lt;&lt;&lt;Numerical data start at c2 and down....</t>
  </si>
  <si>
    <t xml:space="preserve"> &lt;&lt;&lt;Label (optional).</t>
  </si>
  <si>
    <t>1. To manually paste your employment data from the Access database, start pasting at cell C1</t>
  </si>
  <si>
    <t>GrossVA</t>
  </si>
  <si>
    <t>BaseVA</t>
  </si>
  <si>
    <t>pbaseVA</t>
  </si>
  <si>
    <t>directVA</t>
  </si>
  <si>
    <t>indirectVA</t>
  </si>
  <si>
    <t>VACoefficient</t>
  </si>
  <si>
    <t>% GO</t>
  </si>
  <si>
    <t>% GE</t>
  </si>
  <si>
    <t>% GW</t>
  </si>
  <si>
    <t>% GVA</t>
  </si>
  <si>
    <t>% BVA</t>
  </si>
  <si>
    <t>direct VA</t>
  </si>
  <si>
    <t>indirect VA</t>
  </si>
  <si>
    <t>base W</t>
  </si>
  <si>
    <t>% BW</t>
  </si>
  <si>
    <t>direct W</t>
  </si>
  <si>
    <t>indirect W</t>
  </si>
  <si>
    <t>base Emp</t>
  </si>
  <si>
    <t>% BE</t>
  </si>
  <si>
    <t>direct Emp</t>
  </si>
  <si>
    <t>indirect Emp</t>
  </si>
  <si>
    <t>multWages</t>
  </si>
  <si>
    <t>multW</t>
  </si>
  <si>
    <t>multVA</t>
  </si>
  <si>
    <t>_(* #,##0.00_)</t>
  </si>
  <si>
    <t>multBuss</t>
  </si>
  <si>
    <t>Total Output Multiplier: businesses and institutions</t>
  </si>
  <si>
    <t>Business Multiplier (no institutions)</t>
  </si>
  <si>
    <t>Buss</t>
  </si>
  <si>
    <t>multiO</t>
  </si>
  <si>
    <t>multiB</t>
  </si>
  <si>
    <t>job</t>
  </si>
  <si>
    <t>$$$</t>
  </si>
  <si>
    <t>Multiplier expressed as Gross Employment per $1,000(000)</t>
  </si>
  <si>
    <t>Multiplier expressed jobs for each job</t>
  </si>
  <si>
    <t>jobs/job</t>
  </si>
  <si>
    <t>JobsCoefficient</t>
  </si>
  <si>
    <t>Jobs</t>
  </si>
  <si>
    <t>OUTPUT</t>
  </si>
  <si>
    <t>EMPLOYMENT</t>
  </si>
  <si>
    <t>WAGES</t>
  </si>
  <si>
    <t>VALUE ADDED</t>
  </si>
  <si>
    <t>EXOGENOUS</t>
  </si>
  <si>
    <t>ENDOGENOUS</t>
  </si>
  <si>
    <t>(1) The aggregation and/or sorting  only takes place in the OutputTable  (and thus the graphs); the dataSheet continuous to show all data sorted by NAICS code and unaggregated. That was a deliberate (design) choice, largely to maintain visibility and traceability of where the data come from. But I can imagine that this is not immediately obvious when you check for aggregation.
(2) Aggregation only takes place if it can find fields that contain the word household. If those fields are renamed to something like HH, than it will not work. The only workaround for that would be to add that as identified fields in the generation of the SAM (like it already does for end of endogenous, value added lines etc.</t>
  </si>
  <si>
    <t xml:space="preserve">Yes. Put a large number like 99 in the line limit (cell B2 of the chart sheets), and click any of the desired graph buttons. If the line limit exceeds the number of sectors in the outputTable, the program will automatically limit the lines to the maximum available, and also update your line lines to that maximum in cell B2. </t>
  </si>
  <si>
    <t>wagesperwage</t>
  </si>
  <si>
    <t>Wage</t>
  </si>
  <si>
    <t>wages/wage</t>
  </si>
  <si>
    <t>Wages/</t>
  </si>
  <si>
    <t>Gross Employment</t>
  </si>
  <si>
    <t>directOutput</t>
  </si>
  <si>
    <t>indirectOutput</t>
  </si>
  <si>
    <t xml:space="preserve">From IMPLAN Version 3. </t>
  </si>
  <si>
    <t>Open Excel (2007)</t>
  </si>
  <si>
    <t xml:space="preserve">Check “Institution Payments” in the “Pivot Table Field List”.  On the bottom right hand side named “∑ values” you will drag “Sum of institution payments” (in orange) to the box named “Column Labels.”  Once it is in the “Column labels” box, click on the down arrow and click on “field settings”. On the field settings window, in the “Subtotals and Filters” tab, click “none”, then go to the “Layout &amp; print” tab and click “Show item labels in tabular form”, click OK. </t>
  </si>
  <si>
    <t xml:space="preserve">Put your cursor in cell A5 (Row Labels), then using the scroll bars locate the end of the bottom right hand corner of the table.  This is in the previous to the last column and previous to the last row. Once you have identified this cell, then hold the shift key down and click on the identified cell.  Copy that part of the matrix (you have excluded the last row with row totals and most right column with the column totals) and paste into a new worksheet. </t>
  </si>
  <si>
    <t>We recommend verification that the matrix is balanced. After the last row you will compute the row totals and to the right of the last column you will compute the column totals. You will subtract the row totals from the column totals for each and every sector or institution.  The small differences for a sector or institutions are due to rounding, large differences suggest that the matrix is not balanced.  For matrix inversion the sum of all differences must be close to zero.</t>
  </si>
  <si>
    <t>You can fix the labels of the second column as you like in column B, smaller font, names, etc.</t>
  </si>
  <si>
    <t>Copy that column for the relevant sectors and institutions and “Paste Special”, “Values”,</t>
  </si>
  <si>
    <t>“Transpose” to attach the modified labels to the first row. These last two steps can be omitted if you are satisfied with the current names.</t>
  </si>
  <si>
    <t xml:space="preserve">You can multiply each cell in the matrix by 1000 or 1000,000 to facilitate the reading. </t>
  </si>
  <si>
    <t xml:space="preserve">Go to IMPLAN version 3. </t>
  </si>
  <si>
    <t>Under “Study Area Explorer”, under “View Industry Detail” copy the “Description” and “Employment” data. Close IMPLAN.</t>
  </si>
  <si>
    <t>Save your excel file with the necessary information you need for manually enter the data to ASAM.</t>
  </si>
  <si>
    <t>Frequently Asked Questions</t>
  </si>
  <si>
    <t>Click the [+] sign in the left margin to see answers to the following questions</t>
  </si>
  <si>
    <t>When there are many sectors, the legend box will simply be to small. Click/select the legend and enlarge it. Another option is to select the legend and choose a smaller font size.</t>
  </si>
  <si>
    <r>
      <t>·</t>
    </r>
    <r>
      <rPr>
        <sz val="10"/>
        <color theme="1"/>
        <rFont val="Times New Roman"/>
        <family val="1"/>
      </rPr>
      <t xml:space="preserve">         </t>
    </r>
    <r>
      <rPr>
        <sz val="10"/>
        <color theme="1"/>
        <rFont val="Calibri"/>
        <family val="2"/>
        <scheme val="minor"/>
      </rPr>
      <t>IMPLAN has 4 tasks in the window on the left of the screen (Model, Analyze, Explore and Customize)</t>
    </r>
  </si>
  <si>
    <r>
      <t>·</t>
    </r>
    <r>
      <rPr>
        <sz val="10"/>
        <color theme="1"/>
        <rFont val="Times New Roman"/>
        <family val="1"/>
      </rPr>
      <t xml:space="preserve">         </t>
    </r>
    <r>
      <rPr>
        <sz val="10"/>
        <color theme="1"/>
        <rFont val="Calibri"/>
        <family val="2"/>
        <scheme val="minor"/>
      </rPr>
      <t>Go to Explore</t>
    </r>
  </si>
  <si>
    <r>
      <t>·</t>
    </r>
    <r>
      <rPr>
        <sz val="10"/>
        <color theme="1"/>
        <rFont val="Times New Roman"/>
        <family val="1"/>
      </rPr>
      <t xml:space="preserve">         </t>
    </r>
    <r>
      <rPr>
        <sz val="10"/>
        <color theme="1"/>
        <rFont val="Calibri"/>
        <family val="2"/>
        <scheme val="minor"/>
      </rPr>
      <t>Go to Industry Accounts</t>
    </r>
  </si>
  <si>
    <r>
      <t>·</t>
    </r>
    <r>
      <rPr>
        <sz val="10"/>
        <color theme="1"/>
        <rFont val="Times New Roman"/>
        <family val="1"/>
      </rPr>
      <t xml:space="preserve">         </t>
    </r>
    <r>
      <rPr>
        <sz val="10"/>
        <color theme="1"/>
        <rFont val="Calibri"/>
        <family val="2"/>
        <scheme val="minor"/>
      </rPr>
      <t xml:space="preserve">Go to the IxI Social Account Matrix tab </t>
    </r>
  </si>
  <si>
    <r>
      <t>·</t>
    </r>
    <r>
      <rPr>
        <sz val="10"/>
        <color theme="1"/>
        <rFont val="Times New Roman"/>
        <family val="1"/>
      </rPr>
      <t xml:space="preserve">         </t>
    </r>
    <r>
      <rPr>
        <sz val="10"/>
        <color theme="1"/>
        <rFont val="Calibri"/>
        <family val="2"/>
        <scheme val="minor"/>
      </rPr>
      <t xml:space="preserve">Go to export </t>
    </r>
  </si>
  <si>
    <r>
      <t>·</t>
    </r>
    <r>
      <rPr>
        <sz val="10"/>
        <color theme="1"/>
        <rFont val="Times New Roman"/>
        <family val="1"/>
      </rPr>
      <t xml:space="preserve">         </t>
    </r>
    <r>
      <rPr>
        <sz val="10"/>
        <color theme="1"/>
        <rFont val="Calibri"/>
        <family val="2"/>
        <scheme val="minor"/>
      </rPr>
      <t xml:space="preserve">Choose Industry Detail SAM (CSV only) </t>
    </r>
  </si>
  <si>
    <r>
      <t>·</t>
    </r>
    <r>
      <rPr>
        <sz val="10"/>
        <color theme="1"/>
        <rFont val="Times New Roman"/>
        <family val="1"/>
      </rPr>
      <t xml:space="preserve">         </t>
    </r>
    <r>
      <rPr>
        <sz val="10"/>
        <color theme="1"/>
        <rFont val="Calibri"/>
        <family val="2"/>
        <scheme val="minor"/>
      </rPr>
      <t xml:space="preserve">Select Industry x Industry Detail, Row Detail  </t>
    </r>
  </si>
  <si>
    <r>
      <t>·</t>
    </r>
    <r>
      <rPr>
        <sz val="10"/>
        <color theme="1"/>
        <rFont val="Times New Roman"/>
        <family val="1"/>
      </rPr>
      <t xml:space="preserve">         </t>
    </r>
    <r>
      <rPr>
        <sz val="10"/>
        <color theme="1"/>
        <rFont val="Calibri"/>
        <family val="2"/>
        <scheme val="minor"/>
      </rPr>
      <t xml:space="preserve">Read the file *.CSV  </t>
    </r>
  </si>
  <si>
    <r>
      <t>·</t>
    </r>
    <r>
      <rPr>
        <sz val="10"/>
        <color theme="1"/>
        <rFont val="Times New Roman"/>
        <family val="1"/>
      </rPr>
      <t xml:space="preserve">         </t>
    </r>
    <r>
      <rPr>
        <sz val="10"/>
        <color theme="1"/>
        <rFont val="Calibri"/>
        <family val="2"/>
        <scheme val="minor"/>
      </rPr>
      <t xml:space="preserve">Place the cursor on cell A1 </t>
    </r>
  </si>
  <si>
    <r>
      <t>·</t>
    </r>
    <r>
      <rPr>
        <sz val="10"/>
        <color theme="1"/>
        <rFont val="Times New Roman"/>
        <family val="1"/>
      </rPr>
      <t xml:space="preserve">         </t>
    </r>
    <r>
      <rPr>
        <sz val="10"/>
        <color theme="1"/>
        <rFont val="Calibri"/>
        <family val="2"/>
        <scheme val="minor"/>
      </rPr>
      <t xml:space="preserve">Go to the insert tab </t>
    </r>
  </si>
  <si>
    <r>
      <t>·</t>
    </r>
    <r>
      <rPr>
        <sz val="10"/>
        <color theme="1"/>
        <rFont val="Times New Roman"/>
        <family val="1"/>
      </rPr>
      <t xml:space="preserve">         </t>
    </r>
    <r>
      <rPr>
        <sz val="10"/>
        <color theme="1"/>
        <rFont val="Calibri"/>
        <family val="2"/>
        <scheme val="minor"/>
      </rPr>
      <t>Click on “pivot table” (this should auto-select all data from the *.CSV file except the first line.</t>
    </r>
  </si>
  <si>
    <r>
      <t>·</t>
    </r>
    <r>
      <rPr>
        <sz val="10"/>
        <color theme="1"/>
        <rFont val="Times New Roman"/>
        <family val="1"/>
      </rPr>
      <t xml:space="preserve">         </t>
    </r>
    <r>
      <rPr>
        <sz val="10"/>
        <color theme="1"/>
        <rFont val="Calibri"/>
        <family val="2"/>
        <scheme val="minor"/>
      </rPr>
      <t>Excel brings the pivot table window</t>
    </r>
  </si>
  <si>
    <r>
      <t>o</t>
    </r>
    <r>
      <rPr>
        <sz val="10"/>
        <color theme="1"/>
        <rFont val="Times New Roman"/>
        <family val="1"/>
      </rPr>
      <t xml:space="preserve">   </t>
    </r>
    <r>
      <rPr>
        <sz val="10"/>
        <color theme="1"/>
        <rFont val="Calibri"/>
        <family val="2"/>
        <scheme val="minor"/>
      </rPr>
      <t xml:space="preserve">Leave the default options and click OK. This will create a new worksheet in the spreadsheet. On the right hand side it is the pivot table set up information. </t>
    </r>
  </si>
  <si>
    <r>
      <t>o</t>
    </r>
    <r>
      <rPr>
        <sz val="10"/>
        <color theme="1"/>
        <rFont val="Times New Roman"/>
        <family val="1"/>
      </rPr>
      <t xml:space="preserve">   </t>
    </r>
    <r>
      <rPr>
        <sz val="10"/>
        <color theme="1"/>
        <rFont val="Calibri"/>
        <family val="2"/>
        <scheme val="minor"/>
      </rPr>
      <t>On the top right of the pivot table check on “Institution Receipts.” On the bottom right hand side named “∑ values” you will drag “sum of institution receipts” (in orange) to the box named “Row Labels.”  Once it is in the “Row labels” box, click on the down arrow and click on “field settings”. On the field settings window, in the “Subtotals and Filters” tab, click “none”, then go to the “Layout &amp; print” tab and click “Show item labels in tabular form”, click OK. This will print the row numerical labels in column A.</t>
    </r>
  </si>
  <si>
    <r>
      <t>o</t>
    </r>
    <r>
      <rPr>
        <sz val="10"/>
        <color theme="1"/>
        <rFont val="Times New Roman"/>
        <family val="1"/>
      </rPr>
      <t xml:space="preserve">   </t>
    </r>
    <r>
      <rPr>
        <sz val="10"/>
        <color theme="1"/>
        <rFont val="Calibri"/>
        <family val="2"/>
        <scheme val="minor"/>
      </rPr>
      <t>Check “Receipts Description” in the “Pivot Table Field List” and it will add one row in the “Row Labels” box.</t>
    </r>
  </si>
  <si>
    <r>
      <t>o</t>
    </r>
    <r>
      <rPr>
        <sz val="10"/>
        <color theme="1"/>
        <rFont val="Times New Roman"/>
        <family val="1"/>
      </rPr>
      <t xml:space="preserve">   </t>
    </r>
    <r>
      <rPr>
        <sz val="10"/>
        <color theme="1"/>
        <rFont val="Calibri"/>
        <family val="2"/>
        <scheme val="minor"/>
      </rPr>
      <t>Check “Payments Description” in the “Pivot Table Field List” and it will add another line on the “Row Labels” box (“Payments Description”). Drag “Payments Description” (in orange) to the box named “Column Labels”.</t>
    </r>
  </si>
  <si>
    <r>
      <t>o</t>
    </r>
    <r>
      <rPr>
        <sz val="10"/>
        <color theme="1"/>
        <rFont val="Times New Roman"/>
        <family val="1"/>
      </rPr>
      <t xml:space="preserve">   </t>
    </r>
    <r>
      <rPr>
        <sz val="10"/>
        <color theme="1"/>
        <rFont val="Calibri"/>
        <family val="2"/>
        <scheme val="minor"/>
      </rPr>
      <t>Check “Value” in the “Pivot Table Field List” and will add a “Sum of value” row in the “∑ values” box.</t>
    </r>
  </si>
  <si>
    <r>
      <t>Note</t>
    </r>
    <r>
      <rPr>
        <i/>
        <sz val="10"/>
        <color theme="1"/>
        <rFont val="Calibri"/>
        <family val="2"/>
        <scheme val="minor"/>
      </rPr>
      <t xml:space="preserve">: You will notice that on the left side of the Pivot Table Field List you have a matrix that includes almost all the information necessary to build a SAM.  However, we do not need the totals for the rows and columns at this stage. Be aware that Excel has computed the row totals in the last row and the column totals in the most right column—you do not want to copy that last row and last column. Once you have selected the corresponding the last row and last column you need. </t>
    </r>
  </si>
  <si>
    <r>
      <t xml:space="preserve">Go to Excel and “Paste Special” into another worksheet name (i.e., employment). </t>
    </r>
    <r>
      <rPr>
        <b/>
        <sz val="10"/>
        <color theme="1"/>
        <rFont val="Calibri"/>
        <family val="2"/>
        <scheme val="minor"/>
      </rPr>
      <t>Then, arrange the sectors in the same order as they appear in the SAM table.</t>
    </r>
    <r>
      <rPr>
        <sz val="10"/>
        <color theme="1"/>
        <rFont val="Calibri"/>
        <family val="2"/>
        <scheme val="minor"/>
      </rPr>
      <t xml:space="preserve">  IMPLAN summary is sorted differently.</t>
    </r>
  </si>
  <si>
    <t>By all means. The good(and the bad) news is that all graphs are reset to their default when you regenerate them - either by regenerating your SAM or by clicking the buttons.</t>
  </si>
  <si>
    <t>Click/select the label section and reduce the font size. Alternatively, make the bar chart (area) longer.</t>
  </si>
  <si>
    <t>Go to the output table and sort the desried column. A good example of when this is useful is when you want to emphasize the gross in stead of the base performance. 
NOTE: when you (re)generate the chart using the buttons it will revert back to the default sorting. If you want to keep a specific chart configuration, save the chart  onto a new worksheet.</t>
  </si>
  <si>
    <t>My Household aggregation does not seem to work …</t>
  </si>
  <si>
    <r>
      <t>·</t>
    </r>
    <r>
      <rPr>
        <sz val="10"/>
        <color theme="1"/>
        <rFont val="Times New Roman"/>
        <family val="1"/>
      </rPr>
      <t xml:space="preserve">         </t>
    </r>
    <r>
      <rPr>
        <sz val="10"/>
        <color theme="1"/>
        <rFont val="Calibri"/>
        <family val="2"/>
        <scheme val="minor"/>
      </rPr>
      <t>A blue window will ask for the name of the file and its location where you will write the SAM information if you want to consult it later ( see: manual transfer or consultation of IMPLAN data).  Leave the extension of the file as *.CSV, you can save that in the IMPLAN appliance or anywhere else.</t>
    </r>
  </si>
  <si>
    <t xml:space="preserve">This requires that you have created the IxI Social Account in IMPLAN and exported the results in an CSV file. </t>
  </si>
  <si>
    <t>Below are instructions on how to do this, assuming you have a SAM aggregated to your needs</t>
  </si>
  <si>
    <t>In order for the program to import data from IMPLAN, you must have created the Social Accounts Multipliers / IxI Sam within IMPLAN. The program will check if indeed this I x I matrix has been created, and will give you an error message if it could not find the matrix.</t>
  </si>
  <si>
    <r>
      <t xml:space="preserve">Charts: </t>
    </r>
    <r>
      <rPr>
        <i/>
        <sz val="11"/>
        <color theme="1" tint="0.249977111117893"/>
        <rFont val="Arial"/>
        <family val="2"/>
      </rPr>
      <t>Can I customize my graphs?</t>
    </r>
  </si>
  <si>
    <r>
      <t xml:space="preserve">Charts: </t>
    </r>
    <r>
      <rPr>
        <i/>
        <sz val="11"/>
        <color theme="1" tint="0.249977111117893"/>
        <rFont val="Arial"/>
        <family val="2"/>
      </rPr>
      <t>Can I customize the sorting of my graphs?</t>
    </r>
  </si>
  <si>
    <r>
      <t>Charts:</t>
    </r>
    <r>
      <rPr>
        <i/>
        <sz val="11"/>
        <color theme="1" tint="0.249977111117893"/>
        <rFont val="Arial"/>
        <family val="2"/>
      </rPr>
      <t xml:space="preserve"> Can I show all sectors/categories in the charts?</t>
    </r>
  </si>
  <si>
    <r>
      <t xml:space="preserve">Charts: </t>
    </r>
    <r>
      <rPr>
        <i/>
        <sz val="11"/>
        <color theme="1" tint="0.249977111117893"/>
        <rFont val="Arial"/>
        <family val="2"/>
      </rPr>
      <t>I don't see all my sectors in the legend…</t>
    </r>
  </si>
  <si>
    <r>
      <t xml:space="preserve">Charts: </t>
    </r>
    <r>
      <rPr>
        <i/>
        <sz val="11"/>
        <color theme="1" tint="0.249977111117893"/>
        <rFont val="Arial"/>
        <family val="2"/>
      </rPr>
      <t>I only see every other label on the vertical axis in my bar chart…</t>
    </r>
  </si>
  <si>
    <r>
      <t xml:space="preserve">IMPLAN data import gives me the message </t>
    </r>
    <r>
      <rPr>
        <i/>
        <sz val="11"/>
        <color theme="1"/>
        <rFont val="Calibri"/>
        <family val="2"/>
        <scheme val="minor"/>
      </rPr>
      <t>"I could not find any IxI data in your file; make sure to run the IxI matrix in IMPLAN..."</t>
    </r>
  </si>
  <si>
    <r>
      <t>How do I create my</t>
    </r>
    <r>
      <rPr>
        <i/>
        <sz val="11"/>
        <color theme="1"/>
        <rFont val="Calibri"/>
        <family val="2"/>
        <scheme val="minor"/>
      </rPr>
      <t xml:space="preserve"> IxI data in IMPLAN..."</t>
    </r>
  </si>
  <si>
    <r>
      <t>Can I manually transfer or find the IxI matrix</t>
    </r>
    <r>
      <rPr>
        <i/>
        <sz val="11"/>
        <color theme="1" tint="0.249977111117893"/>
        <rFont val="Arial"/>
        <family val="2"/>
      </rPr>
      <t xml:space="preserve"> and employment data from 
IMPLAN version 3?</t>
    </r>
  </si>
  <si>
    <t>In order for the program to import data from IMPLAN, you must have created the Social Accounts Multipliers / IxI Sam within IMPLAN. The program will check if indeed this I x I matrix has been created, and will give you an error message if it could not find the matrix (see next question)</t>
  </si>
  <si>
    <t>Follow the instructions from IMPLAN, a brief version of which is summarized under the previous question "How do I create my IxI data in IMPLAN…"</t>
  </si>
  <si>
    <t xml:space="preserve">Receipts/payments in: </t>
  </si>
  <si>
    <t>Suggested citation:</t>
  </si>
  <si>
    <t>Why do the work in Excel?</t>
  </si>
  <si>
    <t xml:space="preserve"> - DO NOT change the tags or labels (and DO make a backup before you continue…)</t>
  </si>
  <si>
    <t>Most of the work can actually be done in IMPLAN. If you need, or want, more transparency and flexibility, Excel has pivot capabilities where all formulas are visible and all (matrix) calculations can be traced back from sheet to sheet.</t>
  </si>
  <si>
    <t>type</t>
  </si>
  <si>
    <t>Institutions</t>
  </si>
  <si>
    <t>GNU GENERAL PUBLIC LICENSE v3.0</t>
  </si>
  <si>
    <t>ASAM Regional-Economic-Contribution-analysis</t>
  </si>
  <si>
    <t xml:space="preserve">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&lt;http://www.gnu.org/licenses/&gt;. </t>
  </si>
  <si>
    <r>
      <t xml:space="preserve">The source code in this ASAM Excel Application is </t>
    </r>
    <r>
      <rPr>
        <sz val="9"/>
        <color theme="1" tint="0.34998626667073579"/>
        <rFont val="Calibri"/>
        <family val="2"/>
        <scheme val="minor"/>
      </rPr>
      <t>free software</t>
    </r>
    <r>
      <rPr>
        <sz val="9"/>
        <color theme="1" tint="0.499984740745262"/>
        <rFont val="Calibri"/>
        <family val="2"/>
        <scheme val="minor"/>
      </rPr>
      <t xml:space="preserve">: you can redistribute it and/or modify it under the terms of the GNU General Public License as published by the Free Software Foundation, either version 3 of the License, or (at your option) any later version. </t>
    </r>
  </si>
  <si>
    <t>Copyright 2010-2015 Braak, W., Watson, P. and Rodriguez, A.</t>
  </si>
  <si>
    <t>Available at http://www.ecsInsights.org/ASAM</t>
  </si>
  <si>
    <t>Braak, W., Watson, P. and Rodriguez, A. 2010-2015. Automated Social Account Matrix release 4.0.</t>
  </si>
  <si>
    <t>https://support.office.com/</t>
  </si>
  <si>
    <t>(see screenshot below)</t>
  </si>
  <si>
    <r>
      <t xml:space="preserve"> - </t>
    </r>
    <r>
      <rPr>
        <b/>
        <sz val="11"/>
        <color theme="1"/>
        <rFont val="Calibri"/>
        <family val="2"/>
      </rPr>
      <t>Enable this content</t>
    </r>
  </si>
  <si>
    <t xml:space="preserve"> - Newer excel versions</t>
  </si>
  <si>
    <r>
      <t xml:space="preserve"> - Excel 2007 and older: click </t>
    </r>
    <r>
      <rPr>
        <b/>
        <sz val="11"/>
        <color theme="1"/>
        <rFont val="Calibri"/>
        <family val="2"/>
      </rPr>
      <t>Options…</t>
    </r>
  </si>
  <si>
    <r>
      <t xml:space="preserve"> </t>
    </r>
    <r>
      <rPr>
        <sz val="11"/>
        <color theme="1"/>
        <rFont val="Calibri"/>
        <family val="2"/>
      </rPr>
      <t xml:space="preserve">then: </t>
    </r>
    <r>
      <rPr>
        <b/>
        <sz val="11"/>
        <color theme="1"/>
        <rFont val="Calibri"/>
        <family val="2"/>
      </rPr>
      <t>Enable this content</t>
    </r>
  </si>
  <si>
    <t>2003 and older:</t>
  </si>
  <si>
    <t>recent Excel versions:</t>
  </si>
  <si>
    <t>Saves an Excel spreadsheet in a reduced size with only the worksheets, stripping functionality, macros and forms</t>
  </si>
  <si>
    <r>
      <t xml:space="preserve">The calculations in this spreadsheet are governed by software code which can only execute when "content (macros) are enabled". If you trust the copy and see a Security Warning as pictured below, you will need to "enable content" or macros.
</t>
    </r>
    <r>
      <rPr>
        <i/>
        <sz val="10"/>
        <color theme="1" tint="0.34998626667073579"/>
        <rFont val="Arial"/>
        <family val="2"/>
      </rPr>
      <t xml:space="preserve">NOTE: if you </t>
    </r>
    <r>
      <rPr>
        <b/>
        <i/>
        <sz val="10"/>
        <color theme="1" tint="0.34998626667073579"/>
        <rFont val="Arial"/>
        <family val="2"/>
      </rPr>
      <t>do not see</t>
    </r>
    <r>
      <rPr>
        <i/>
        <sz val="10"/>
        <color theme="1" tint="0.34998626667073579"/>
        <rFont val="Arial"/>
        <family val="2"/>
      </rPr>
      <t xml:space="preserve"> this security warning, then your security settings disables macros without notification. You will need to change the setting in your Trust Center to </t>
    </r>
    <r>
      <rPr>
        <sz val="10"/>
        <color theme="1" tint="0.34998626667073579"/>
        <rFont val="Arial"/>
        <family val="2"/>
      </rPr>
      <t xml:space="preserve">"Disable all macros </t>
    </r>
    <r>
      <rPr>
        <i/>
        <u/>
        <sz val="10"/>
        <color theme="1" tint="0.34998626667073579"/>
        <rFont val="Arial"/>
        <family val="2"/>
      </rPr>
      <t>with</t>
    </r>
    <r>
      <rPr>
        <sz val="10"/>
        <color theme="1" tint="0.34998626667073579"/>
        <rFont val="Arial"/>
        <family val="2"/>
      </rPr>
      <t xml:space="preserve"> notification".</t>
    </r>
    <r>
      <rPr>
        <i/>
        <sz val="10"/>
        <color theme="1" tint="0.34998626667073579"/>
        <rFont val="Arial"/>
        <family val="2"/>
      </rPr>
      <t xml:space="preserve"> See Microsoft's instructions at:</t>
    </r>
  </si>
  <si>
    <t>Content is currently DISABLED for this workbook</t>
  </si>
  <si>
    <t>Retrieve IMPLAN data</t>
  </si>
  <si>
    <t>This will ask you for the location of the  your project.impdb or iap file, retrieve the necessary data and paste it into your Excel spreadsheet</t>
  </si>
  <si>
    <t>Manually paste your SAM data and Employment Data</t>
  </si>
  <si>
    <t xml:space="preserve"> Automated Social Account Matrix</t>
  </si>
  <si>
    <t>release: 4.0</t>
  </si>
  <si>
    <r>
      <t xml:space="preserve">This will re-generate all the matrices as the well the overview using the </t>
    </r>
    <r>
      <rPr>
        <u/>
        <sz val="8"/>
        <color theme="1" tint="0.249977111117893"/>
        <rFont val="Calibri"/>
        <family val="2"/>
        <scheme val="minor"/>
      </rPr>
      <t>current</t>
    </r>
    <r>
      <rPr>
        <sz val="8"/>
        <color theme="1" tint="0.249977111117893"/>
        <rFont val="Calibri"/>
        <family val="2"/>
        <scheme val="minor"/>
      </rPr>
      <t xml:space="preserve"> data in the SAM sheet. 
This is useful if some data got corrupted, if you want to use a different classification of endogenous sectors, or a different aggregation of household data</t>
    </r>
  </si>
  <si>
    <t>(optional)</t>
  </si>
  <si>
    <t>1. To manually paste your SAM data from the access database, start pasting from cell A1</t>
  </si>
  <si>
    <t>&lt;&lt; Numerical data start here (B2 and across)....</t>
  </si>
  <si>
    <t>&lt;&lt; Sector labels should be in column A</t>
  </si>
  <si>
    <t>2. Select the sheet [inputEmpl] to input your employment data</t>
  </si>
  <si>
    <t>3. Then return to the tools-sheet and click [Create Matrices]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</si>
</sst>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_(* \(#,##0.00\);_(* &quot;-&quot;??_);_(@_)"/>
  </numFmts>
  <fonts count="74"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Arial"/>
      <family val="2"/>
    </font>
    <font>
      <b/>
      <sz val="10"/>
      <color theme="1"/>
      <name val="Arial"/>
      <family val="2"/>
    </font>
    <font>
      <sz val="11"/>
      <color theme="1"/>
      <name val="Calibri"/>
      <family val="2"/>
    </font>
    <font>
      <u/>
      <sz val="10"/>
      <color theme="10"/>
      <name val="Arial"/>
      <family val="2"/>
    </font>
    <font>
      <sz val="10"/>
      <color theme="1" tint="0.34998626667073579"/>
      <name val="Arial"/>
      <family val="2"/>
    </font>
    <font>
      <b/>
      <sz val="11"/>
      <color theme="1"/>
      <name val="Calibri"/>
      <family val="2"/>
    </font>
    <font>
      <sz val="11"/>
      <color theme="1" tint="0.34998626667073579"/>
      <name val="Calibri"/>
      <family val="2"/>
    </font>
    <font>
      <b/>
      <sz val="18"/>
      <color theme="3"/>
      <name val="Cambria"/>
      <family val="2"/>
      <scheme val="major"/>
    </font>
    <font>
      <b/>
      <sz val="9"/>
      <color theme="1" tint="0.499984740745262"/>
      <name val="Arial"/>
      <family val="2"/>
    </font>
    <font>
      <b/>
      <sz val="14"/>
      <color theme="1" tint="0.499984740745262"/>
      <name val="Arial"/>
      <family val="2"/>
    </font>
    <font>
      <sz val="9"/>
      <color indexed="81"/>
      <name val="Tahoma"/>
      <family val="2"/>
    </font>
    <font>
      <b/>
      <sz val="10"/>
      <name val="Calibri"/>
      <family val="2"/>
      <scheme val="minor"/>
    </font>
    <font>
      <b/>
      <sz val="10"/>
      <color theme="5" tint="-0.249977111117893"/>
      <name val="Calibri"/>
      <family val="2"/>
      <scheme val="minor"/>
    </font>
    <font>
      <sz val="10"/>
      <color theme="1"/>
      <name val="Calibri"/>
      <family val="2"/>
      <scheme val="minor"/>
    </font>
    <font>
      <sz val="10"/>
      <color theme="0" tint="-0.499984740745262"/>
      <name val="Calibri"/>
      <family val="2"/>
      <scheme val="minor"/>
    </font>
    <font>
      <b/>
      <sz val="10"/>
      <color rgb="FFC00000"/>
      <name val="Calibri"/>
      <family val="2"/>
      <scheme val="minor"/>
    </font>
    <font>
      <sz val="9"/>
      <color theme="1"/>
      <name val="Arial"/>
      <family val="2"/>
    </font>
    <font>
      <b/>
      <i/>
      <sz val="10"/>
      <color theme="1"/>
      <name val="Calibri"/>
      <family val="2"/>
      <scheme val="minor"/>
    </font>
    <font>
      <i/>
      <sz val="10"/>
      <color theme="1"/>
      <name val="Calibri"/>
      <family val="2"/>
      <scheme val="minor"/>
    </font>
    <font>
      <sz val="10"/>
      <color theme="1"/>
      <name val="Symbol"/>
      <family val="1"/>
      <charset val="2"/>
    </font>
    <font>
      <sz val="10"/>
      <color theme="1"/>
      <name val="Times New Roman"/>
      <family val="1"/>
    </font>
    <font>
      <sz val="10"/>
      <color theme="1"/>
      <name val="Courier New"/>
      <family val="3"/>
    </font>
    <font>
      <b/>
      <sz val="10"/>
      <color theme="1"/>
      <name val="Calibri"/>
      <family val="2"/>
      <scheme val="minor"/>
    </font>
    <font>
      <b/>
      <i/>
      <sz val="11"/>
      <color theme="9" tint="-0.499984740745262"/>
      <name val="Calibri"/>
      <family val="2"/>
      <scheme val="minor"/>
    </font>
    <font>
      <b/>
      <i/>
      <sz val="11"/>
      <color theme="1"/>
      <name val="Calibri"/>
      <family val="2"/>
      <scheme val="minor"/>
    </font>
    <font>
      <b/>
      <i/>
      <sz val="11"/>
      <color theme="1" tint="0.249977111117893"/>
      <name val="Arial"/>
      <family val="2"/>
    </font>
    <font>
      <b/>
      <i/>
      <sz val="11"/>
      <color theme="1" tint="0.249977111117893"/>
      <name val="Calibri"/>
      <family val="2"/>
      <scheme val="minor"/>
    </font>
    <font>
      <i/>
      <sz val="11"/>
      <color theme="1" tint="0.249977111117893"/>
      <name val="Arial"/>
      <family val="2"/>
    </font>
    <font>
      <i/>
      <sz val="11"/>
      <color theme="1"/>
      <name val="Calibri"/>
      <family val="2"/>
      <scheme val="minor"/>
    </font>
    <font>
      <sz val="11"/>
      <color theme="1" tint="0.249977111117893"/>
      <name val="Calibri"/>
      <family val="2"/>
      <scheme val="minor"/>
    </font>
    <font>
      <sz val="8"/>
      <color theme="0" tint="-0.499984740745262"/>
      <name val="Arial"/>
      <family val="2"/>
    </font>
    <font>
      <b/>
      <sz val="10"/>
      <color theme="0" tint="-0.499984740745262"/>
      <name val="Arial"/>
      <family val="2"/>
    </font>
    <font>
      <sz val="8"/>
      <color rgb="FF000000"/>
      <name val="Tahoma"/>
      <family val="2"/>
    </font>
    <font>
      <sz val="9"/>
      <color rgb="FF404040"/>
      <name val="Calibri"/>
      <family val="2"/>
      <scheme val="minor"/>
    </font>
    <font>
      <sz val="10"/>
      <color theme="0"/>
      <name val="Arial"/>
      <family val="2"/>
    </font>
    <font>
      <sz val="9"/>
      <color theme="1" tint="0.499984740745262"/>
      <name val="Arial"/>
      <family val="2"/>
    </font>
    <font>
      <sz val="8"/>
      <color theme="1" tint="0.499984740745262"/>
      <name val="Arial"/>
      <family val="2"/>
    </font>
    <font>
      <sz val="9"/>
      <color theme="1" tint="0.499984740745262"/>
      <name val="Calibri"/>
      <family val="2"/>
      <scheme val="minor"/>
    </font>
    <font>
      <sz val="9"/>
      <color theme="1" tint="0.34998626667073579"/>
      <name val="Calibri"/>
      <family val="2"/>
      <scheme val="minor"/>
    </font>
    <font>
      <i/>
      <sz val="10"/>
      <color theme="1" tint="0.34998626667073579"/>
      <name val="Arial"/>
      <family val="2"/>
    </font>
    <font>
      <u/>
      <sz val="9"/>
      <color theme="10"/>
      <name val="Arial"/>
      <family val="2"/>
    </font>
    <font>
      <i/>
      <u/>
      <sz val="10"/>
      <color theme="1" tint="0.34998626667073579"/>
      <name val="Arial"/>
      <family val="2"/>
    </font>
    <font>
      <b/>
      <sz val="12"/>
      <color theme="0"/>
      <name val="Arial"/>
      <family val="2"/>
    </font>
    <font>
      <b/>
      <i/>
      <sz val="10"/>
      <color theme="1" tint="0.34998626667073579"/>
      <name val="Arial"/>
      <family val="2"/>
    </font>
    <font>
      <b/>
      <sz val="12"/>
      <color theme="1" tint="0.499984740745262"/>
      <name val="Arial"/>
      <family val="2"/>
    </font>
    <font>
      <sz val="12"/>
      <color theme="1"/>
      <name val="Calibri"/>
      <family val="2"/>
      <scheme val="minor"/>
    </font>
    <font>
      <b/>
      <sz val="12"/>
      <color theme="1"/>
      <name val="Arial"/>
      <family val="2"/>
    </font>
    <font>
      <sz val="12"/>
      <color theme="1" tint="0.249977111117893"/>
      <name val="Calibri"/>
      <family val="2"/>
      <scheme val="minor"/>
    </font>
    <font>
      <sz val="12"/>
      <color theme="0" tint="-0.34998626667073579"/>
      <name val="Arial"/>
      <family val="2"/>
    </font>
    <font>
      <sz val="12"/>
      <color theme="1"/>
      <name val="Arial"/>
      <family val="2"/>
    </font>
    <font>
      <sz val="12"/>
      <color theme="1" tint="0.499984740745262"/>
      <name val="Arial"/>
      <family val="2"/>
    </font>
    <font>
      <b/>
      <sz val="10"/>
      <color theme="1" tint="0.499984740745262"/>
      <name val="Arial"/>
      <family val="2"/>
    </font>
    <font>
      <b/>
      <sz val="14"/>
      <color theme="1"/>
      <name val="Arial"/>
      <family val="2"/>
    </font>
    <font>
      <sz val="10"/>
      <color theme="1" tint="0.499984740745262"/>
      <name val="Arial"/>
      <family val="2"/>
    </font>
    <font>
      <sz val="10"/>
      <color theme="0"/>
      <name val="Calibri"/>
      <family val="2"/>
      <scheme val="minor"/>
    </font>
    <font>
      <sz val="8"/>
      <color theme="1" tint="0.249977111117893"/>
      <name val="Calibri"/>
      <family val="2"/>
      <scheme val="minor"/>
    </font>
    <font>
      <u/>
      <sz val="8"/>
      <color theme="1" tint="0.249977111117893"/>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1"/>
        <bgColor indexed="64"/>
      </patternFill>
    </fill>
  </fills>
  <borders count="4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right style="thin">
        <color indexed="64"/>
      </right>
      <top/>
      <bottom/>
      <diagonal/>
    </border>
    <border>
      <left/>
      <right style="thin">
        <color indexed="64"/>
      </right>
      <top/>
      <bottom style="thin">
        <color auto="1"/>
      </bottom>
      <diagonal/>
    </border>
    <border>
      <left/>
      <right/>
      <top/>
      <bottom style="thin">
        <color auto="1"/>
      </bottom>
      <diagonal/>
    </border>
    <border>
      <left style="thin">
        <color indexed="64"/>
      </left>
      <right/>
      <top/>
      <bottom style="thin">
        <color auto="1"/>
      </bottom>
      <diagonal/>
    </border>
    <border>
      <left style="thin">
        <color indexed="64"/>
      </left>
      <right/>
      <top style="thin">
        <color indexed="64"/>
      </top>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thin">
        <color auto="1"/>
      </right>
      <top style="thin">
        <color auto="1"/>
      </top>
      <bottom/>
      <diagonal/>
    </border>
    <border>
      <left/>
      <right/>
      <top style="thin">
        <color auto="1"/>
      </top>
      <bottom/>
      <diagonal/>
    </border>
    <border>
      <left style="thin">
        <color indexed="64"/>
      </left>
      <right/>
      <top style="thin">
        <color auto="1"/>
      </top>
      <bottom style="thin">
        <color auto="1"/>
      </bottom>
      <diagonal/>
    </border>
    <border>
      <left/>
      <right style="thin">
        <color indexed="64"/>
      </right>
      <top style="thin">
        <color auto="1"/>
      </top>
      <bottom/>
      <diagonal/>
    </border>
    <border>
      <left style="thin">
        <color indexed="64"/>
      </left>
      <right style="thin">
        <color auto="1"/>
      </right>
      <top style="thin">
        <color auto="1"/>
      </top>
      <bottom style="thin">
        <color auto="1"/>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indexed="64"/>
      </left>
      <right style="thin">
        <color auto="1"/>
      </right>
      <top/>
      <bottom/>
      <diagonal/>
    </border>
    <border>
      <left style="thin">
        <color indexed="64"/>
      </left>
      <right style="thin">
        <color auto="1"/>
      </right>
      <top/>
      <bottom style="thin">
        <color auto="1"/>
      </bottom>
      <diagonal/>
    </border>
    <border>
      <left style="thin">
        <color indexed="64"/>
      </left>
      <right/>
      <top style="thin">
        <color auto="1"/>
      </top>
      <bottom style="thin">
        <color auto="1"/>
      </bottom>
      <diagonal/>
    </border>
    <border>
      <left style="thin">
        <color indexed="64"/>
      </left>
      <right style="thin">
        <color auto="1"/>
      </right>
      <top style="thin">
        <color auto="1"/>
      </top>
      <bottom style="thin">
        <color auto="1"/>
      </bottom>
      <diagonal/>
    </border>
  </borders>
  <cellStyleXfs count="3207">
    <xf numFmtId="0" fontId="0" fillId="0" borderId="0"/>
    <xf numFmtId="0" fontId="17"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0" fillId="6" borderId="4"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2" fillId="7" borderId="7" applyNumberFormat="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2" fillId="0" borderId="1"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8" fillId="5" borderId="4" applyNumberFormat="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9" fillId="6" borderId="5" applyNumberFormat="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5" fillId="0" borderId="9" applyNumberFormat="0" applyFill="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20" fillId="0" borderId="0" applyNumberFormat="0" applyFill="0" applyBorder="0" applyAlignment="0" applyProtection="0">
      <alignment vertical="top"/>
      <protection locked="0"/>
    </xf>
    <xf numFmtId="0" fontId="24"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0" applyNumberFormat="0" applyBorder="0" applyAlignment="0" applyProtection="0"/>
    <xf numFmtId="0" fontId="8" fillId="5" borderId="4" applyNumberFormat="0" applyAlignment="0" applyProtection="0"/>
    <xf numFmtId="0" fontId="9" fillId="6" borderId="5" applyNumberFormat="0" applyAlignment="0" applyProtection="0"/>
    <xf numFmtId="0" fontId="10" fillId="6" borderId="4" applyNumberFormat="0" applyAlignment="0" applyProtection="0"/>
    <xf numFmtId="0" fontId="11" fillId="0" borderId="6" applyNumberFormat="0" applyFill="0" applyAlignment="0" applyProtection="0"/>
    <xf numFmtId="0" fontId="12" fillId="7" borderId="7" applyNumberFormat="0" applyAlignment="0" applyProtection="0"/>
    <xf numFmtId="0" fontId="13" fillId="0" borderId="0" applyNumberFormat="0" applyFill="0" applyBorder="0" applyAlignment="0" applyProtection="0"/>
    <xf numFmtId="0" fontId="1" fillId="8" borderId="8" applyNumberFormat="0" applyFon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32" borderId="0" applyNumberFormat="0" applyBorder="0" applyAlignment="0" applyProtection="0"/>
    <xf numFmtId="43" fontId="17" fillId="0" borderId="0" applyFont="0" applyFill="0" applyBorder="0" applyAlignment="0" applyProtection="0"/>
  </cellStyleXfs>
  <cellXfs count="185">
    <xf numFmtId="0" fontId="0" fillId="0" borderId="0" xfId="0"/>
    <xf numFmtId="0" fontId="17" fillId="0" borderId="0" xfId="1"/>
    <xf numFmtId="0" fontId="17" fillId="33" borderId="0" xfId="1" applyFill="1"/>
    <xf numFmtId="0" fontId="17" fillId="35" borderId="0" xfId="1" applyFill="1"/>
    <xf numFmtId="0" fontId="0" fillId="0" borderId="0" xfId="0" applyAlignment="1"/>
    <xf numFmtId="0" fontId="30" fillId="0" borderId="13" xfId="0" applyFont="1" applyBorder="1"/>
    <xf numFmtId="0" fontId="0" fillId="36" borderId="0" xfId="0" applyFill="1"/>
    <xf numFmtId="0" fontId="0" fillId="36" borderId="0" xfId="0" applyFill="1" applyAlignment="1"/>
    <xf numFmtId="0" fontId="28" fillId="36" borderId="0" xfId="0" applyFont="1" applyFill="1" applyBorder="1"/>
    <xf numFmtId="0" fontId="29" fillId="36" borderId="0" xfId="0" applyFont="1" applyFill="1" applyBorder="1"/>
    <xf numFmtId="0" fontId="30" fillId="36" borderId="0" xfId="0" applyFont="1" applyFill="1"/>
    <xf numFmtId="0" fontId="31" fillId="0" borderId="15" xfId="0" applyFont="1" applyBorder="1"/>
    <xf numFmtId="0" fontId="31" fillId="0" borderId="10" xfId="0" applyFont="1" applyBorder="1"/>
    <xf numFmtId="1" fontId="32" fillId="0" borderId="0" xfId="0" applyNumberFormat="1" applyFont="1" applyBorder="1" applyAlignment="1">
      <alignment horizontal="center"/>
    </xf>
    <xf numFmtId="0" fontId="30" fillId="0" borderId="0" xfId="0" applyFont="1" applyBorder="1"/>
    <xf numFmtId="0" fontId="31" fillId="0" borderId="0" xfId="0" applyNumberFormat="1" applyFont="1" applyBorder="1" applyAlignment="1"/>
    <xf numFmtId="0" fontId="31" fillId="0" borderId="10" xfId="0" applyFont="1" applyFill="1" applyBorder="1"/>
    <xf numFmtId="0" fontId="30" fillId="0" borderId="0" xfId="0" applyFont="1" applyFill="1" applyBorder="1"/>
    <xf numFmtId="0" fontId="31" fillId="0" borderId="14" xfId="0" applyFont="1" applyBorder="1"/>
    <xf numFmtId="0" fontId="30" fillId="0" borderId="0" xfId="0" applyFont="1" applyBorder="1" applyAlignment="1">
      <alignment wrapText="1"/>
    </xf>
    <xf numFmtId="49" fontId="30" fillId="0" borderId="11" xfId="0" applyNumberFormat="1" applyFont="1" applyBorder="1"/>
    <xf numFmtId="49" fontId="30" fillId="0" borderId="12" xfId="0" applyNumberFormat="1" applyFont="1" applyBorder="1"/>
    <xf numFmtId="0" fontId="17" fillId="34" borderId="15" xfId="1" applyFill="1" applyBorder="1"/>
    <xf numFmtId="0" fontId="30" fillId="0" borderId="0" xfId="0" applyFont="1" applyBorder="1" applyAlignment="1">
      <alignment horizontal="center"/>
    </xf>
    <xf numFmtId="0" fontId="30" fillId="0" borderId="0" xfId="0" applyFont="1" applyFill="1" applyBorder="1" applyAlignment="1">
      <alignment horizontal="center"/>
    </xf>
    <xf numFmtId="0" fontId="30" fillId="0" borderId="13" xfId="0" applyFont="1" applyBorder="1" applyAlignment="1">
      <alignment horizontal="center"/>
    </xf>
    <xf numFmtId="0" fontId="30" fillId="0" borderId="16" xfId="0" applyFont="1" applyBorder="1" applyAlignment="1">
      <alignment horizontal="center"/>
    </xf>
    <xf numFmtId="0" fontId="0" fillId="0" borderId="17" xfId="0" applyBorder="1"/>
    <xf numFmtId="0" fontId="17" fillId="35" borderId="0" xfId="1" applyFill="1" applyBorder="1"/>
    <xf numFmtId="0" fontId="0" fillId="0" borderId="0" xfId="0"/>
    <xf numFmtId="49" fontId="0" fillId="36" borderId="0" xfId="0" applyNumberFormat="1" applyFill="1"/>
    <xf numFmtId="49" fontId="0" fillId="0" borderId="0" xfId="0" applyNumberFormat="1"/>
    <xf numFmtId="0" fontId="17" fillId="35" borderId="0" xfId="1" applyFill="1" applyProtection="1">
      <protection locked="0" hidden="1"/>
    </xf>
    <xf numFmtId="0" fontId="17" fillId="35" borderId="0" xfId="1" applyFill="1" applyAlignment="1"/>
    <xf numFmtId="0" fontId="0" fillId="0" borderId="13" xfId="0" applyBorder="1"/>
    <xf numFmtId="0" fontId="0" fillId="0" borderId="13" xfId="0" applyBorder="1" applyAlignment="1">
      <alignment horizontal="left" vertical="top"/>
    </xf>
    <xf numFmtId="0" fontId="0" fillId="0" borderId="16" xfId="0" applyBorder="1"/>
    <xf numFmtId="0" fontId="0" fillId="0" borderId="0" xfId="0"/>
    <xf numFmtId="0" fontId="0" fillId="0" borderId="26" xfId="0" applyBorder="1"/>
    <xf numFmtId="0" fontId="30" fillId="0" borderId="19" xfId="0" applyFont="1" applyBorder="1" applyAlignment="1">
      <alignment horizontal="center"/>
    </xf>
    <xf numFmtId="49" fontId="30" fillId="0" borderId="21" xfId="0" applyNumberFormat="1" applyFont="1" applyBorder="1"/>
    <xf numFmtId="0" fontId="30" fillId="0" borderId="19" xfId="0" applyFont="1" applyBorder="1"/>
    <xf numFmtId="1" fontId="32" fillId="0" borderId="19" xfId="0" applyNumberFormat="1" applyFont="1" applyBorder="1" applyAlignment="1">
      <alignment horizontal="center"/>
    </xf>
    <xf numFmtId="0" fontId="0" fillId="0" borderId="25" xfId="0" applyBorder="1"/>
    <xf numFmtId="0" fontId="0" fillId="0" borderId="24" xfId="0" applyBorder="1"/>
    <xf numFmtId="0" fontId="30" fillId="0" borderId="23" xfId="0" applyNumberFormat="1" applyFont="1" applyFill="1" applyBorder="1" applyAlignment="1">
      <alignment horizontal="center"/>
    </xf>
    <xf numFmtId="0" fontId="30" fillId="0" borderId="20" xfId="0" applyNumberFormat="1" applyFont="1" applyFill="1" applyBorder="1" applyAlignment="1">
      <alignment horizontal="center"/>
    </xf>
    <xf numFmtId="49" fontId="30" fillId="0" borderId="22" xfId="0" applyNumberFormat="1" applyFont="1" applyFill="1" applyBorder="1"/>
    <xf numFmtId="0" fontId="31" fillId="0" borderId="18" xfId="0" applyNumberFormat="1" applyFont="1" applyBorder="1" applyAlignment="1"/>
    <xf numFmtId="0" fontId="30" fillId="0" borderId="22" xfId="0" applyFont="1" applyBorder="1"/>
    <xf numFmtId="1" fontId="32" fillId="0" borderId="22" xfId="0" applyNumberFormat="1" applyFont="1" applyBorder="1" applyAlignment="1">
      <alignment horizontal="center"/>
    </xf>
    <xf numFmtId="0" fontId="31" fillId="0" borderId="22" xfId="0" applyFont="1" applyBorder="1"/>
    <xf numFmtId="0" fontId="30" fillId="0" borderId="26" xfId="0" applyFont="1" applyBorder="1" applyAlignment="1">
      <alignment horizontal="center"/>
    </xf>
    <xf numFmtId="0" fontId="31" fillId="0" borderId="13" xfId="0" applyNumberFormat="1" applyFont="1" applyBorder="1" applyAlignment="1"/>
    <xf numFmtId="0" fontId="0" fillId="0" borderId="27" xfId="0" applyBorder="1"/>
    <xf numFmtId="0" fontId="0" fillId="0" borderId="0" xfId="0"/>
    <xf numFmtId="0" fontId="17" fillId="35" borderId="0" xfId="1" applyFill="1" applyAlignment="1" applyProtection="1">
      <alignment vertical="center"/>
      <protection locked="0" hidden="1"/>
    </xf>
    <xf numFmtId="0" fontId="17" fillId="35" borderId="0" xfId="1" applyFill="1" applyAlignment="1">
      <alignment vertical="center"/>
    </xf>
    <xf numFmtId="0" fontId="30" fillId="0" borderId="11" xfId="0" applyFont="1" applyBorder="1" applyAlignment="1">
      <alignment horizontal="left" vertical="top" wrapText="1"/>
    </xf>
    <xf numFmtId="0" fontId="17" fillId="35" borderId="11" xfId="1" applyFont="1" applyFill="1" applyBorder="1" applyAlignment="1">
      <alignment horizontal="left" vertical="top" wrapText="1"/>
    </xf>
    <xf numFmtId="0" fontId="30" fillId="0" borderId="11" xfId="0" applyFont="1" applyBorder="1" applyAlignment="1">
      <alignment vertical="top" wrapText="1"/>
    </xf>
    <xf numFmtId="0" fontId="30" fillId="0" borderId="12" xfId="0" applyFont="1" applyBorder="1" applyAlignment="1">
      <alignment horizontal="left" vertical="top" wrapText="1"/>
    </xf>
    <xf numFmtId="0" fontId="30" fillId="0" borderId="0" xfId="0" applyFont="1"/>
    <xf numFmtId="0" fontId="30" fillId="0" borderId="0" xfId="0" applyFont="1" applyAlignment="1">
      <alignment horizontal="left" vertical="top" wrapText="1"/>
    </xf>
    <xf numFmtId="0" fontId="33" fillId="35" borderId="0" xfId="1" applyFont="1" applyFill="1" applyAlignment="1" applyProtection="1">
      <alignment vertical="top"/>
      <protection locked="0" hidden="1"/>
    </xf>
    <xf numFmtId="0" fontId="33" fillId="35" borderId="0" xfId="1" applyFont="1" applyFill="1" applyAlignment="1">
      <alignment vertical="top"/>
    </xf>
    <xf numFmtId="0" fontId="26" fillId="35" borderId="0" xfId="1" applyFont="1" applyFill="1" applyAlignment="1">
      <alignment horizontal="left" vertical="center" indent="1"/>
    </xf>
    <xf numFmtId="0" fontId="0" fillId="35" borderId="0" xfId="0" applyFill="1" applyBorder="1" applyProtection="1">
      <protection locked="0" hidden="1"/>
    </xf>
    <xf numFmtId="0" fontId="34" fillId="0" borderId="11" xfId="0" applyFont="1" applyBorder="1" applyAlignment="1">
      <alignment horizontal="left" vertical="center" wrapText="1"/>
    </xf>
    <xf numFmtId="0" fontId="30" fillId="0" borderId="11" xfId="0" applyFont="1" applyBorder="1" applyAlignment="1">
      <alignment horizontal="left" vertical="center" wrapText="1"/>
    </xf>
    <xf numFmtId="0" fontId="36" fillId="0" borderId="11" xfId="0" applyFont="1" applyBorder="1" applyAlignment="1">
      <alignment horizontal="left" vertical="center" wrapText="1"/>
    </xf>
    <xf numFmtId="0" fontId="38" fillId="0" borderId="11" xfId="0" applyFont="1" applyBorder="1" applyAlignment="1">
      <alignment horizontal="left" vertical="center" wrapText="1" indent="2"/>
    </xf>
    <xf numFmtId="0" fontId="30" fillId="0" borderId="11" xfId="0" applyFont="1" applyBorder="1" applyAlignment="1">
      <alignment horizontal="left" vertical="center" wrapText="1" indent="2"/>
    </xf>
    <xf numFmtId="0" fontId="41" fillId="0" borderId="10" xfId="0" applyFont="1" applyBorder="1" applyAlignment="1">
      <alignment vertical="center"/>
    </xf>
    <xf numFmtId="0" fontId="42" fillId="35" borderId="10" xfId="1" applyFont="1" applyFill="1" applyBorder="1" applyAlignment="1">
      <alignment vertical="center"/>
    </xf>
    <xf numFmtId="0" fontId="43" fillId="0" borderId="10" xfId="0" applyFont="1" applyBorder="1" applyAlignment="1">
      <alignment vertical="center"/>
    </xf>
    <xf numFmtId="0" fontId="41" fillId="0" borderId="14" xfId="0" applyFont="1" applyBorder="1" applyAlignment="1">
      <alignment vertical="center"/>
    </xf>
    <xf numFmtId="0" fontId="41" fillId="0" borderId="0" xfId="0" applyFont="1" applyAlignment="1">
      <alignment vertical="center"/>
    </xf>
    <xf numFmtId="0" fontId="46" fillId="35" borderId="0" xfId="0" applyFont="1" applyFill="1" applyBorder="1" applyProtection="1">
      <protection locked="0" hidden="1"/>
    </xf>
    <xf numFmtId="0" fontId="0" fillId="0" borderId="11" xfId="0" applyBorder="1"/>
    <xf numFmtId="0" fontId="51" fillId="38" borderId="0" xfId="1" applyFont="1" applyFill="1" applyBorder="1" applyAlignment="1">
      <alignment vertical="center"/>
    </xf>
    <xf numFmtId="0" fontId="51" fillId="38" borderId="0" xfId="1" applyFont="1" applyFill="1" applyBorder="1" applyAlignment="1">
      <alignment horizontal="right" vertical="center"/>
    </xf>
    <xf numFmtId="0" fontId="17" fillId="35" borderId="0" xfId="1" applyFill="1"/>
    <xf numFmtId="0" fontId="17" fillId="34" borderId="12" xfId="1" applyFill="1" applyBorder="1"/>
    <xf numFmtId="0" fontId="17" fillId="34" borderId="10" xfId="1" applyFill="1" applyBorder="1"/>
    <xf numFmtId="0" fontId="17" fillId="34" borderId="11" xfId="1" applyFill="1" applyBorder="1"/>
    <xf numFmtId="0" fontId="17" fillId="34" borderId="14" xfId="1" applyFill="1" applyBorder="1"/>
    <xf numFmtId="0" fontId="33" fillId="34" borderId="34" xfId="1" applyFont="1" applyFill="1" applyBorder="1" applyAlignment="1">
      <alignment horizontal="right" vertical="center"/>
    </xf>
    <xf numFmtId="0" fontId="33" fillId="34" borderId="36" xfId="1" applyFont="1" applyFill="1" applyBorder="1" applyAlignment="1">
      <alignment vertical="center"/>
    </xf>
    <xf numFmtId="0" fontId="0" fillId="0" borderId="0" xfId="0" applyBorder="1" applyAlignment="1">
      <alignment horizontal="left" vertical="top"/>
    </xf>
    <xf numFmtId="0" fontId="33" fillId="0" borderId="0" xfId="1" applyFont="1" applyAlignment="1">
      <alignment vertical="center"/>
    </xf>
    <xf numFmtId="0" fontId="33" fillId="34" borderId="32" xfId="1" applyFont="1" applyFill="1" applyBorder="1" applyAlignment="1">
      <alignment horizontal="right"/>
    </xf>
    <xf numFmtId="0" fontId="33" fillId="34" borderId="33" xfId="1" applyFont="1" applyFill="1" applyBorder="1" applyAlignment="1"/>
    <xf numFmtId="0" fontId="33" fillId="0" borderId="0" xfId="1" applyFont="1" applyAlignment="1"/>
    <xf numFmtId="0" fontId="17" fillId="34" borderId="0" xfId="1" applyFill="1"/>
    <xf numFmtId="0" fontId="33" fillId="34" borderId="0" xfId="1" applyFont="1" applyFill="1" applyAlignment="1"/>
    <xf numFmtId="0" fontId="33" fillId="34" borderId="0" xfId="1" applyFont="1" applyFill="1" applyAlignment="1">
      <alignment vertical="center"/>
    </xf>
    <xf numFmtId="0" fontId="20" fillId="34" borderId="0" xfId="3164" applyFill="1" applyAlignment="1" applyProtection="1"/>
    <xf numFmtId="0" fontId="17" fillId="34" borderId="0" xfId="1" applyFill="1" applyAlignment="1">
      <alignment horizontal="center" vertical="top"/>
    </xf>
    <xf numFmtId="0" fontId="18" fillId="34" borderId="28" xfId="1" applyFont="1" applyFill="1" applyBorder="1" applyAlignment="1">
      <alignment horizontal="left" vertical="top" wrapText="1"/>
    </xf>
    <xf numFmtId="0" fontId="19" fillId="34" borderId="15" xfId="1" applyFont="1" applyFill="1" applyBorder="1" applyAlignment="1">
      <alignment horizontal="left" indent="1"/>
    </xf>
    <xf numFmtId="0" fontId="17" fillId="34" borderId="28" xfId="1" applyFill="1" applyBorder="1"/>
    <xf numFmtId="0" fontId="23" fillId="34" borderId="10" xfId="1" applyFont="1" applyFill="1" applyBorder="1" applyAlignment="1">
      <alignment horizontal="left" indent="1"/>
    </xf>
    <xf numFmtId="0" fontId="18" fillId="34" borderId="11" xfId="1" applyFont="1" applyFill="1" applyBorder="1" applyAlignment="1">
      <alignment horizontal="left" vertical="top" wrapText="1"/>
    </xf>
    <xf numFmtId="0" fontId="19" fillId="34" borderId="11" xfId="1" applyFont="1" applyFill="1" applyBorder="1" applyAlignment="1">
      <alignment horizontal="left" indent="1"/>
    </xf>
    <xf numFmtId="0" fontId="23" fillId="34" borderId="11" xfId="1" applyFont="1" applyFill="1" applyBorder="1" applyAlignment="1">
      <alignment horizontal="left" indent="1"/>
    </xf>
    <xf numFmtId="0" fontId="17" fillId="34" borderId="10" xfId="1" applyFill="1" applyBorder="1" applyAlignment="1">
      <alignment horizontal="left" vertical="center" indent="1" readingOrder="1"/>
    </xf>
    <xf numFmtId="0" fontId="17" fillId="34" borderId="11" xfId="1" applyFill="1" applyBorder="1" applyAlignment="1">
      <alignment horizontal="left" vertical="center" indent="1" readingOrder="1"/>
    </xf>
    <xf numFmtId="0" fontId="19" fillId="34" borderId="10" xfId="1" applyFont="1" applyFill="1" applyBorder="1" applyAlignment="1">
      <alignment horizontal="left" indent="1"/>
    </xf>
    <xf numFmtId="0" fontId="22" fillId="34" borderId="10" xfId="1" applyFont="1" applyFill="1" applyBorder="1" applyAlignment="1">
      <alignment horizontal="left" indent="1"/>
    </xf>
    <xf numFmtId="0" fontId="17" fillId="34" borderId="14" xfId="1" applyFill="1" applyBorder="1" applyAlignment="1">
      <alignment horizontal="left" vertical="center" indent="1" readingOrder="1"/>
    </xf>
    <xf numFmtId="0" fontId="17" fillId="34" borderId="12" xfId="1" applyFill="1" applyBorder="1" applyAlignment="1">
      <alignment horizontal="left" vertical="center" indent="1" readingOrder="1"/>
    </xf>
    <xf numFmtId="0" fontId="17" fillId="0" borderId="37" xfId="1" applyBorder="1"/>
    <xf numFmtId="0" fontId="33" fillId="0" borderId="37" xfId="1" applyFont="1" applyBorder="1" applyAlignment="1"/>
    <xf numFmtId="0" fontId="33" fillId="0" borderId="37" xfId="1" applyFont="1" applyBorder="1" applyAlignment="1">
      <alignment vertical="center"/>
    </xf>
    <xf numFmtId="0" fontId="62" fillId="35" borderId="0" xfId="0" applyFont="1" applyFill="1" applyBorder="1" applyAlignment="1">
      <alignment horizontal="left" vertical="center" indent="1"/>
    </xf>
    <xf numFmtId="0" fontId="63" fillId="35" borderId="0" xfId="1" applyFont="1" applyFill="1" applyBorder="1" applyAlignment="1">
      <alignment horizontal="left" vertical="center" indent="1"/>
    </xf>
    <xf numFmtId="0" fontId="64" fillId="35" borderId="0" xfId="0" applyFont="1" applyFill="1" applyBorder="1" applyAlignment="1">
      <alignment horizontal="left" vertical="center" indent="1"/>
    </xf>
    <xf numFmtId="0" fontId="66" fillId="35" borderId="0" xfId="1" applyFont="1" applyFill="1" applyAlignment="1" applyProtection="1">
      <alignment horizontal="left" vertical="center" indent="1"/>
      <protection locked="0" hidden="1"/>
    </xf>
    <xf numFmtId="0" fontId="66" fillId="35" borderId="0" xfId="1" applyFont="1" applyFill="1" applyAlignment="1">
      <alignment horizontal="left" vertical="center" indent="1"/>
    </xf>
    <xf numFmtId="0" fontId="67" fillId="35" borderId="0" xfId="1" applyFont="1" applyFill="1" applyBorder="1" applyAlignment="1">
      <alignment vertical="center"/>
    </xf>
    <xf numFmtId="0" fontId="61" fillId="35" borderId="0" xfId="1" applyFont="1" applyFill="1" applyBorder="1" applyAlignment="1"/>
    <xf numFmtId="0" fontId="67" fillId="35" borderId="0" xfId="1" applyFont="1" applyFill="1" applyAlignment="1">
      <alignment vertical="center"/>
    </xf>
    <xf numFmtId="0" fontId="66" fillId="35" borderId="0" xfId="1" applyFont="1" applyFill="1" applyBorder="1"/>
    <xf numFmtId="0" fontId="66" fillId="35" borderId="0" xfId="1" applyFont="1" applyFill="1"/>
    <xf numFmtId="0" fontId="17" fillId="35" borderId="0" xfId="1" applyFill="1" applyBorder="1" applyAlignment="1"/>
    <xf numFmtId="0" fontId="65" fillId="35" borderId="0" xfId="1" applyFont="1" applyFill="1" applyBorder="1" applyAlignment="1">
      <alignment horizontal="right" vertical="center"/>
    </xf>
    <xf numFmtId="0" fontId="61" fillId="35" borderId="0" xfId="1" applyFont="1" applyFill="1" applyBorder="1" applyAlignment="1">
      <alignment horizontal="left" vertical="center" indent="1"/>
    </xf>
    <xf numFmtId="0" fontId="66" fillId="35" borderId="0" xfId="1" applyFont="1" applyFill="1" applyBorder="1" applyAlignment="1">
      <alignment horizontal="left" vertical="center" indent="1"/>
    </xf>
    <xf numFmtId="0" fontId="33" fillId="35" borderId="0" xfId="1" applyFont="1" applyFill="1" applyBorder="1" applyAlignment="1" applyProtection="1">
      <alignment vertical="top"/>
      <protection locked="0"/>
    </xf>
    <xf numFmtId="0" fontId="26" fillId="35" borderId="0" xfId="1" applyFont="1" applyFill="1" applyBorder="1" applyAlignment="1">
      <alignment horizontal="left" vertical="center" indent="1"/>
    </xf>
    <xf numFmtId="0" fontId="1" fillId="35" borderId="0" xfId="0" applyFont="1" applyFill="1" applyBorder="1" applyAlignment="1" applyProtection="1">
      <alignment horizontal="left" indent="1"/>
      <protection locked="0"/>
    </xf>
    <xf numFmtId="0" fontId="69" fillId="35" borderId="0" xfId="1" applyFont="1" applyFill="1" applyBorder="1" applyAlignment="1">
      <alignment horizontal="left" vertical="center" indent="1"/>
    </xf>
    <xf numFmtId="0" fontId="69" fillId="35" borderId="0" xfId="1" applyFont="1" applyFill="1" applyBorder="1" applyAlignment="1">
      <alignment horizontal="left" indent="1"/>
    </xf>
    <xf numFmtId="0" fontId="25" fillId="38" borderId="0" xfId="1" applyFont="1" applyFill="1" applyBorder="1" applyAlignment="1">
      <alignment vertical="center"/>
    </xf>
    <xf numFmtId="0" fontId="25" fillId="35" borderId="0" xfId="1" applyFont="1" applyFill="1" applyBorder="1" applyAlignment="1" applyProtection="1">
      <alignment vertical="top"/>
      <protection locked="0" hidden="1"/>
    </xf>
    <xf numFmtId="0" fontId="25" fillId="35" borderId="0" xfId="1" applyFont="1" applyFill="1" applyBorder="1" applyAlignment="1"/>
    <xf numFmtId="0" fontId="70" fillId="35" borderId="0" xfId="1" applyFont="1" applyFill="1" applyBorder="1"/>
    <xf numFmtId="0" fontId="25" fillId="35" borderId="0" xfId="1" applyFont="1" applyFill="1" applyAlignment="1"/>
    <xf numFmtId="0" fontId="1" fillId="0" borderId="0" xfId="0" applyFont="1"/>
    <xf numFmtId="0" fontId="71" fillId="38" borderId="0" xfId="1" applyFont="1" applyFill="1" applyBorder="1" applyAlignment="1">
      <alignment vertical="center"/>
    </xf>
    <xf numFmtId="0" fontId="72" fillId="35" borderId="0" xfId="1" applyFont="1" applyFill="1" applyBorder="1" applyAlignment="1">
      <alignment vertical="top" wrapText="1"/>
    </xf>
    <xf numFmtId="0" fontId="72" fillId="35" borderId="0" xfId="1" applyFont="1" applyFill="1" applyBorder="1" applyAlignment="1">
      <alignment wrapText="1"/>
    </xf>
    <xf numFmtId="0" fontId="64" fillId="35" borderId="0" xfId="1" applyFont="1" applyFill="1" applyBorder="1" applyAlignment="1">
      <alignment vertical="center" wrapText="1"/>
    </xf>
    <xf numFmtId="0" fontId="64" fillId="35" borderId="0" xfId="1" applyFont="1" applyFill="1" applyBorder="1" applyAlignment="1">
      <alignment vertical="top" wrapText="1"/>
    </xf>
    <xf numFmtId="0" fontId="30" fillId="35" borderId="0" xfId="1" applyFont="1" applyFill="1" applyBorder="1"/>
    <xf numFmtId="0" fontId="72" fillId="35" borderId="0" xfId="1" applyFont="1" applyFill="1" applyAlignment="1">
      <alignment vertical="top" wrapText="1"/>
    </xf>
    <xf numFmtId="0" fontId="17" fillId="35" borderId="0" xfId="1" applyFill="1" applyBorder="1" applyAlignment="1" applyProtection="1">
      <alignment vertical="center"/>
      <protection locked="0" hidden="1"/>
    </xf>
    <xf numFmtId="0" fontId="25" fillId="35" borderId="0" xfId="1" applyFont="1" applyFill="1" applyBorder="1" applyAlignment="1">
      <alignment horizontal="center" wrapText="1"/>
    </xf>
    <xf numFmtId="0" fontId="17" fillId="35" borderId="0" xfId="1" applyFill="1" applyBorder="1" applyAlignment="1">
      <alignment vertical="center"/>
    </xf>
    <xf numFmtId="0" fontId="66" fillId="35" borderId="0" xfId="1" applyFont="1" applyFill="1" applyBorder="1" applyAlignment="1" applyProtection="1">
      <alignment horizontal="left" vertical="center" indent="1"/>
      <protection locked="0" hidden="1"/>
    </xf>
    <xf numFmtId="0" fontId="68" fillId="35" borderId="0" xfId="1" applyFont="1" applyFill="1" applyBorder="1" applyAlignment="1">
      <alignment horizontal="center" wrapText="1"/>
    </xf>
    <xf numFmtId="0" fontId="33" fillId="35" borderId="0" xfId="1" applyFont="1" applyFill="1" applyBorder="1" applyAlignment="1" applyProtection="1">
      <alignment vertical="top"/>
      <protection locked="0" hidden="1"/>
    </xf>
    <xf numFmtId="0" fontId="52" fillId="35" borderId="0" xfId="1" applyFont="1" applyFill="1" applyBorder="1" applyAlignment="1">
      <alignment vertical="top"/>
    </xf>
    <xf numFmtId="0" fontId="33" fillId="35" borderId="0" xfId="1" applyFont="1" applyFill="1" applyBorder="1" applyAlignment="1">
      <alignment vertical="top"/>
    </xf>
    <xf numFmtId="0" fontId="17" fillId="35" borderId="0" xfId="1" applyFill="1" applyBorder="1" applyProtection="1">
      <protection locked="0" hidden="1"/>
    </xf>
    <xf numFmtId="0" fontId="53" fillId="35" borderId="0" xfId="1" applyFont="1" applyFill="1" applyBorder="1" applyAlignment="1">
      <alignment horizontal="center" vertical="center" wrapText="1"/>
    </xf>
    <xf numFmtId="0" fontId="50" fillId="35" borderId="0" xfId="0" applyFont="1" applyFill="1" applyBorder="1" applyAlignment="1">
      <alignment vertical="top" wrapText="1"/>
    </xf>
    <xf numFmtId="0" fontId="59" fillId="38" borderId="0" xfId="1" applyFont="1" applyFill="1" applyBorder="1" applyAlignment="1">
      <alignment vertical="center"/>
    </xf>
    <xf numFmtId="0" fontId="48" fillId="35" borderId="0" xfId="1" applyFont="1" applyFill="1" applyBorder="1" applyAlignment="1">
      <alignment vertical="center"/>
    </xf>
    <xf numFmtId="0" fontId="47" fillId="35" borderId="38" xfId="1" applyNumberFormat="1" applyFont="1" applyFill="1" applyBorder="1" applyAlignment="1" applyProtection="1">
      <alignment horizontal="left" wrapText="1" indent="1"/>
      <protection locked="0"/>
    </xf>
    <xf numFmtId="0" fontId="47" fillId="35" borderId="39" xfId="1" applyNumberFormat="1" applyFont="1" applyFill="1" applyBorder="1" applyAlignment="1" applyProtection="1">
      <alignment horizontal="left" vertical="center" wrapText="1" indent="1"/>
      <protection locked="0"/>
    </xf>
    <xf numFmtId="0" fontId="0" fillId="0" borderId="0" xfId="0" applyBorder="1"/>
    <xf numFmtId="0" fontId="0" fillId="33" borderId="10" xfId="0" applyFill="1" applyBorder="1"/>
    <xf numFmtId="0" fontId="0" fillId="33" borderId="40" xfId="0" applyFill="1" applyBorder="1"/>
    <xf numFmtId="0" fontId="0" fillId="37" borderId="40" xfId="0" applyFill="1" applyBorder="1"/>
    <xf numFmtId="0" fontId="0" fillId="0" borderId="40" xfId="0" applyBorder="1"/>
    <xf numFmtId="0" fontId="0" fillId="33" borderId="42" xfId="0" applyFill="1" applyBorder="1" applyAlignment="1">
      <alignment horizontal="left" vertical="top"/>
    </xf>
    <xf numFmtId="0" fontId="0" fillId="33" borderId="43" xfId="0" applyFill="1" applyBorder="1" applyAlignment="1">
      <alignment horizontal="left" vertical="top"/>
    </xf>
    <xf numFmtId="0" fontId="0" fillId="0" borderId="41" xfId="0" applyBorder="1" applyAlignment="1">
      <alignment horizontal="left" vertical="top"/>
    </xf>
    <xf numFmtId="0" fontId="0" fillId="0" borderId="43" xfId="0" applyBorder="1"/>
    <xf numFmtId="0" fontId="0" fillId="37" borderId="12" xfId="0" applyFill="1" applyBorder="1" applyAlignment="1">
      <alignment horizontal="left" vertical="top"/>
    </xf>
    <xf numFmtId="0" fontId="21" fillId="34" borderId="29" xfId="1" applyFont="1" applyFill="1" applyBorder="1" applyAlignment="1">
      <alignment horizontal="center" vertical="top" wrapText="1"/>
    </xf>
    <xf numFmtId="0" fontId="21" fillId="34" borderId="30" xfId="1" applyFont="1" applyFill="1" applyBorder="1" applyAlignment="1">
      <alignment horizontal="center" vertical="top" wrapText="1"/>
    </xf>
    <xf numFmtId="0" fontId="21" fillId="34" borderId="31" xfId="1" applyFont="1" applyFill="1" applyBorder="1" applyAlignment="1">
      <alignment horizontal="center" vertical="top" wrapText="1"/>
    </xf>
    <xf numFmtId="0" fontId="57" fillId="34" borderId="0" xfId="3164" applyFont="1" applyFill="1" applyBorder="1" applyAlignment="1" applyProtection="1">
      <alignment horizontal="left"/>
    </xf>
    <xf numFmtId="0" fontId="57" fillId="34" borderId="35" xfId="3164" applyFont="1" applyFill="1" applyBorder="1" applyAlignment="1" applyProtection="1">
      <alignment horizontal="left" vertical="center"/>
    </xf>
    <xf numFmtId="0" fontId="26" fillId="34" borderId="0" xfId="1" applyFont="1" applyFill="1" applyAlignment="1">
      <alignment horizontal="center" vertical="center"/>
    </xf>
    <xf numFmtId="0" fontId="54" fillId="35" borderId="0" xfId="0" applyFont="1" applyFill="1" applyBorder="1" applyAlignment="1">
      <alignment horizontal="left" vertical="top" wrapText="1"/>
    </xf>
    <xf numFmtId="0" fontId="41" fillId="0" borderId="10" xfId="0" applyFont="1" applyBorder="1" applyAlignment="1">
      <alignment horizontal="left" vertical="center" wrapText="1"/>
    </xf>
    <xf numFmtId="0" fontId="41" fillId="0" borderId="11" xfId="0" applyFont="1" applyBorder="1" applyAlignment="1">
      <alignment horizontal="left" vertical="center" wrapText="1"/>
    </xf>
    <xf numFmtId="0" fontId="42" fillId="35" borderId="10" xfId="1" applyFont="1" applyFill="1" applyBorder="1" applyAlignment="1">
      <alignment horizontal="left" vertical="center" wrapText="1"/>
    </xf>
    <xf numFmtId="0" fontId="42" fillId="35" borderId="11" xfId="1" applyFont="1" applyFill="1" applyBorder="1" applyAlignment="1">
      <alignment horizontal="left" vertical="center" wrapText="1"/>
    </xf>
    <xf numFmtId="0" fontId="40" fillId="34" borderId="15" xfId="0" applyFont="1" applyFill="1" applyBorder="1" applyAlignment="1">
      <alignment horizontal="left" vertical="center"/>
    </xf>
    <xf numFmtId="0" fontId="40" fillId="34" borderId="28" xfId="0" applyFont="1" applyFill="1" applyBorder="1" applyAlignment="1">
      <alignment horizontal="left" vertical="center"/>
    </xf>
  </cellXfs>
  <cellStyles count="3207">
    <cellStyle name="20% - Accent1" xfId="3183" builtinId="30" customBuiltin="1"/>
    <cellStyle name="20% - Accent1 10" xfId="2"/>
    <cellStyle name="20% - Accent1 10 2" xfId="3"/>
    <cellStyle name="20% - Accent1 10 2 2" xfId="4"/>
    <cellStyle name="20% - Accent1 10 2 3" xfId="5"/>
    <cellStyle name="20% - Accent1 10 3" xfId="6"/>
    <cellStyle name="20% - Accent1 10 3 2" xfId="7"/>
    <cellStyle name="20% - Accent1 10 3 3" xfId="8"/>
    <cellStyle name="20% - Accent1 10 4" xfId="9"/>
    <cellStyle name="20% - Accent1 10 4 2" xfId="10"/>
    <cellStyle name="20% - Accent1 10 4 3" xfId="11"/>
    <cellStyle name="20% - Accent1 10 5" xfId="12"/>
    <cellStyle name="20% - Accent1 10 6" xfId="13"/>
    <cellStyle name="20% - Accent1 10 7" xfId="14"/>
    <cellStyle name="20% - Accent1 11" xfId="15"/>
    <cellStyle name="20% - Accent1 11 2" xfId="16"/>
    <cellStyle name="20% - Accent1 11 2 2" xfId="17"/>
    <cellStyle name="20% - Accent1 11 2 3" xfId="18"/>
    <cellStyle name="20% - Accent1 11 3" xfId="19"/>
    <cellStyle name="20% - Accent1 11 3 2" xfId="20"/>
    <cellStyle name="20% - Accent1 11 3 3" xfId="21"/>
    <cellStyle name="20% - Accent1 11 4" xfId="22"/>
    <cellStyle name="20% - Accent1 11 4 2" xfId="23"/>
    <cellStyle name="20% - Accent1 11 4 3" xfId="24"/>
    <cellStyle name="20% - Accent1 11 5" xfId="25"/>
    <cellStyle name="20% - Accent1 11 6" xfId="26"/>
    <cellStyle name="20% - Accent1 11 7" xfId="27"/>
    <cellStyle name="20% - Accent1 12" xfId="28"/>
    <cellStyle name="20% - Accent1 12 2" xfId="29"/>
    <cellStyle name="20% - Accent1 12 2 2" xfId="30"/>
    <cellStyle name="20% - Accent1 12 2 3" xfId="31"/>
    <cellStyle name="20% - Accent1 12 3" xfId="32"/>
    <cellStyle name="20% - Accent1 12 3 2" xfId="33"/>
    <cellStyle name="20% - Accent1 12 3 3" xfId="34"/>
    <cellStyle name="20% - Accent1 12 4" xfId="35"/>
    <cellStyle name="20% - Accent1 12 4 2" xfId="36"/>
    <cellStyle name="20% - Accent1 12 4 3" xfId="37"/>
    <cellStyle name="20% - Accent1 12 5" xfId="38"/>
    <cellStyle name="20% - Accent1 12 6" xfId="39"/>
    <cellStyle name="20% - Accent1 12 7" xfId="40"/>
    <cellStyle name="20% - Accent1 13" xfId="41"/>
    <cellStyle name="20% - Accent1 13 2" xfId="42"/>
    <cellStyle name="20% - Accent1 13 2 2" xfId="43"/>
    <cellStyle name="20% - Accent1 13 2 3" xfId="44"/>
    <cellStyle name="20% - Accent1 13 3" xfId="45"/>
    <cellStyle name="20% - Accent1 13 3 2" xfId="46"/>
    <cellStyle name="20% - Accent1 13 3 3" xfId="47"/>
    <cellStyle name="20% - Accent1 13 4" xfId="48"/>
    <cellStyle name="20% - Accent1 13 4 2" xfId="49"/>
    <cellStyle name="20% - Accent1 13 4 3" xfId="50"/>
    <cellStyle name="20% - Accent1 13 5" xfId="51"/>
    <cellStyle name="20% - Accent1 13 6" xfId="52"/>
    <cellStyle name="20% - Accent1 13 7" xfId="53"/>
    <cellStyle name="20% - Accent1 14" xfId="54"/>
    <cellStyle name="20% - Accent1 14 2" xfId="55"/>
    <cellStyle name="20% - Accent1 14 2 2" xfId="56"/>
    <cellStyle name="20% - Accent1 14 2 3" xfId="57"/>
    <cellStyle name="20% - Accent1 14 3" xfId="58"/>
    <cellStyle name="20% - Accent1 14 3 2" xfId="59"/>
    <cellStyle name="20% - Accent1 14 3 3" xfId="60"/>
    <cellStyle name="20% - Accent1 14 4" xfId="61"/>
    <cellStyle name="20% - Accent1 14 4 2" xfId="62"/>
    <cellStyle name="20% - Accent1 14 4 3" xfId="63"/>
    <cellStyle name="20% - Accent1 14 5" xfId="64"/>
    <cellStyle name="20% - Accent1 14 6" xfId="65"/>
    <cellStyle name="20% - Accent1 14 7" xfId="66"/>
    <cellStyle name="20% - Accent1 15" xfId="67"/>
    <cellStyle name="20% - Accent1 15 2" xfId="68"/>
    <cellStyle name="20% - Accent1 15 2 2" xfId="69"/>
    <cellStyle name="20% - Accent1 15 2 3" xfId="70"/>
    <cellStyle name="20% - Accent1 15 3" xfId="71"/>
    <cellStyle name="20% - Accent1 15 3 2" xfId="72"/>
    <cellStyle name="20% - Accent1 15 3 3" xfId="73"/>
    <cellStyle name="20% - Accent1 15 4" xfId="74"/>
    <cellStyle name="20% - Accent1 15 4 2" xfId="75"/>
    <cellStyle name="20% - Accent1 15 4 3" xfId="76"/>
    <cellStyle name="20% - Accent1 15 5" xfId="77"/>
    <cellStyle name="20% - Accent1 15 6" xfId="78"/>
    <cellStyle name="20% - Accent1 15 7" xfId="79"/>
    <cellStyle name="20% - Accent1 16" xfId="80"/>
    <cellStyle name="20% - Accent1 16 2" xfId="81"/>
    <cellStyle name="20% - Accent1 16 2 2" xfId="82"/>
    <cellStyle name="20% - Accent1 16 2 3" xfId="83"/>
    <cellStyle name="20% - Accent1 16 3" xfId="84"/>
    <cellStyle name="20% - Accent1 16 3 2" xfId="85"/>
    <cellStyle name="20% - Accent1 16 3 3" xfId="86"/>
    <cellStyle name="20% - Accent1 16 4" xfId="87"/>
    <cellStyle name="20% - Accent1 16 4 2" xfId="88"/>
    <cellStyle name="20% - Accent1 16 4 3" xfId="89"/>
    <cellStyle name="20% - Accent1 16 5" xfId="90"/>
    <cellStyle name="20% - Accent1 16 6" xfId="91"/>
    <cellStyle name="20% - Accent1 16 7" xfId="92"/>
    <cellStyle name="20% - Accent1 17" xfId="93"/>
    <cellStyle name="20% - Accent1 17 2" xfId="94"/>
    <cellStyle name="20% - Accent1 17 2 2" xfId="95"/>
    <cellStyle name="20% - Accent1 17 2 3" xfId="96"/>
    <cellStyle name="20% - Accent1 17 3" xfId="97"/>
    <cellStyle name="20% - Accent1 17 3 2" xfId="98"/>
    <cellStyle name="20% - Accent1 17 3 3" xfId="99"/>
    <cellStyle name="20% - Accent1 17 4" xfId="100"/>
    <cellStyle name="20% - Accent1 17 4 2" xfId="101"/>
    <cellStyle name="20% - Accent1 17 4 3" xfId="102"/>
    <cellStyle name="20% - Accent1 17 5" xfId="103"/>
    <cellStyle name="20% - Accent1 17 6" xfId="104"/>
    <cellStyle name="20% - Accent1 17 7" xfId="105"/>
    <cellStyle name="20% - Accent1 2" xfId="106"/>
    <cellStyle name="20% - Accent1 2 2" xfId="107"/>
    <cellStyle name="20% - Accent1 2 2 2" xfId="108"/>
    <cellStyle name="20% - Accent1 2 2 3" xfId="109"/>
    <cellStyle name="20% - Accent1 2 3" xfId="110"/>
    <cellStyle name="20% - Accent1 2 3 2" xfId="111"/>
    <cellStyle name="20% - Accent1 2 3 3" xfId="112"/>
    <cellStyle name="20% - Accent1 2 4" xfId="113"/>
    <cellStyle name="20% - Accent1 2 4 2" xfId="114"/>
    <cellStyle name="20% - Accent1 2 4 3" xfId="115"/>
    <cellStyle name="20% - Accent1 2 5" xfId="116"/>
    <cellStyle name="20% - Accent1 2 6" xfId="117"/>
    <cellStyle name="20% - Accent1 2 7" xfId="118"/>
    <cellStyle name="20% - Accent1 3" xfId="119"/>
    <cellStyle name="20% - Accent1 3 2" xfId="120"/>
    <cellStyle name="20% - Accent1 3 2 2" xfId="121"/>
    <cellStyle name="20% - Accent1 3 2 3" xfId="122"/>
    <cellStyle name="20% - Accent1 3 3" xfId="123"/>
    <cellStyle name="20% - Accent1 3 3 2" xfId="124"/>
    <cellStyle name="20% - Accent1 3 3 3" xfId="125"/>
    <cellStyle name="20% - Accent1 3 4" xfId="126"/>
    <cellStyle name="20% - Accent1 3 4 2" xfId="127"/>
    <cellStyle name="20% - Accent1 3 4 3" xfId="128"/>
    <cellStyle name="20% - Accent1 3 5" xfId="129"/>
    <cellStyle name="20% - Accent1 3 6" xfId="130"/>
    <cellStyle name="20% - Accent1 3 7" xfId="131"/>
    <cellStyle name="20% - Accent1 4" xfId="132"/>
    <cellStyle name="20% - Accent1 4 2" xfId="133"/>
    <cellStyle name="20% - Accent1 4 2 2" xfId="134"/>
    <cellStyle name="20% - Accent1 4 2 3" xfId="135"/>
    <cellStyle name="20% - Accent1 4 3" xfId="136"/>
    <cellStyle name="20% - Accent1 4 3 2" xfId="137"/>
    <cellStyle name="20% - Accent1 4 3 3" xfId="138"/>
    <cellStyle name="20% - Accent1 4 4" xfId="139"/>
    <cellStyle name="20% - Accent1 4 4 2" xfId="140"/>
    <cellStyle name="20% - Accent1 4 4 3" xfId="141"/>
    <cellStyle name="20% - Accent1 4 5" xfId="142"/>
    <cellStyle name="20% - Accent1 4 6" xfId="143"/>
    <cellStyle name="20% - Accent1 4 7" xfId="144"/>
    <cellStyle name="20% - Accent1 5" xfId="145"/>
    <cellStyle name="20% - Accent1 5 2" xfId="146"/>
    <cellStyle name="20% - Accent1 5 2 2" xfId="147"/>
    <cellStyle name="20% - Accent1 5 2 3" xfId="148"/>
    <cellStyle name="20% - Accent1 5 3" xfId="149"/>
    <cellStyle name="20% - Accent1 5 3 2" xfId="150"/>
    <cellStyle name="20% - Accent1 5 3 3" xfId="151"/>
    <cellStyle name="20% - Accent1 5 4" xfId="152"/>
    <cellStyle name="20% - Accent1 5 4 2" xfId="153"/>
    <cellStyle name="20% - Accent1 5 4 3" xfId="154"/>
    <cellStyle name="20% - Accent1 5 5" xfId="155"/>
    <cellStyle name="20% - Accent1 5 6" xfId="156"/>
    <cellStyle name="20% - Accent1 5 7" xfId="157"/>
    <cellStyle name="20% - Accent1 6" xfId="158"/>
    <cellStyle name="20% - Accent1 6 2" xfId="159"/>
    <cellStyle name="20% - Accent1 6 2 2" xfId="160"/>
    <cellStyle name="20% - Accent1 6 2 3" xfId="161"/>
    <cellStyle name="20% - Accent1 6 3" xfId="162"/>
    <cellStyle name="20% - Accent1 6 3 2" xfId="163"/>
    <cellStyle name="20% - Accent1 6 3 3" xfId="164"/>
    <cellStyle name="20% - Accent1 6 4" xfId="165"/>
    <cellStyle name="20% - Accent1 6 4 2" xfId="166"/>
    <cellStyle name="20% - Accent1 6 4 3" xfId="167"/>
    <cellStyle name="20% - Accent1 6 5" xfId="168"/>
    <cellStyle name="20% - Accent1 6 6" xfId="169"/>
    <cellStyle name="20% - Accent1 6 7" xfId="170"/>
    <cellStyle name="20% - Accent1 7" xfId="171"/>
    <cellStyle name="20% - Accent1 7 2" xfId="172"/>
    <cellStyle name="20% - Accent1 7 2 2" xfId="173"/>
    <cellStyle name="20% - Accent1 7 2 3" xfId="174"/>
    <cellStyle name="20% - Accent1 7 3" xfId="175"/>
    <cellStyle name="20% - Accent1 7 3 2" xfId="176"/>
    <cellStyle name="20% - Accent1 7 3 3" xfId="177"/>
    <cellStyle name="20% - Accent1 7 4" xfId="178"/>
    <cellStyle name="20% - Accent1 7 4 2" xfId="179"/>
    <cellStyle name="20% - Accent1 7 4 3" xfId="180"/>
    <cellStyle name="20% - Accent1 7 5" xfId="181"/>
    <cellStyle name="20% - Accent1 7 6" xfId="182"/>
    <cellStyle name="20% - Accent1 7 7" xfId="183"/>
    <cellStyle name="20% - Accent1 8" xfId="184"/>
    <cellStyle name="20% - Accent1 8 2" xfId="185"/>
    <cellStyle name="20% - Accent1 8 2 2" xfId="186"/>
    <cellStyle name="20% - Accent1 8 2 3" xfId="187"/>
    <cellStyle name="20% - Accent1 8 3" xfId="188"/>
    <cellStyle name="20% - Accent1 8 3 2" xfId="189"/>
    <cellStyle name="20% - Accent1 8 3 3" xfId="190"/>
    <cellStyle name="20% - Accent1 8 4" xfId="191"/>
    <cellStyle name="20% - Accent1 8 4 2" xfId="192"/>
    <cellStyle name="20% - Accent1 8 4 3" xfId="193"/>
    <cellStyle name="20% - Accent1 8 5" xfId="194"/>
    <cellStyle name="20% - Accent1 8 6" xfId="195"/>
    <cellStyle name="20% - Accent1 8 7" xfId="196"/>
    <cellStyle name="20% - Accent1 9" xfId="197"/>
    <cellStyle name="20% - Accent1 9 2" xfId="198"/>
    <cellStyle name="20% - Accent1 9 2 2" xfId="199"/>
    <cellStyle name="20% - Accent1 9 2 3" xfId="200"/>
    <cellStyle name="20% - Accent1 9 3" xfId="201"/>
    <cellStyle name="20% - Accent1 9 3 2" xfId="202"/>
    <cellStyle name="20% - Accent1 9 3 3" xfId="203"/>
    <cellStyle name="20% - Accent1 9 4" xfId="204"/>
    <cellStyle name="20% - Accent1 9 4 2" xfId="205"/>
    <cellStyle name="20% - Accent1 9 4 3" xfId="206"/>
    <cellStyle name="20% - Accent1 9 5" xfId="207"/>
    <cellStyle name="20% - Accent1 9 6" xfId="208"/>
    <cellStyle name="20% - Accent1 9 7" xfId="209"/>
    <cellStyle name="20% - Accent2" xfId="3187" builtinId="34" customBuiltin="1"/>
    <cellStyle name="20% - Accent2 10" xfId="210"/>
    <cellStyle name="20% - Accent2 10 2" xfId="211"/>
    <cellStyle name="20% - Accent2 10 2 2" xfId="212"/>
    <cellStyle name="20% - Accent2 10 2 3" xfId="213"/>
    <cellStyle name="20% - Accent2 10 3" xfId="214"/>
    <cellStyle name="20% - Accent2 10 3 2" xfId="215"/>
    <cellStyle name="20% - Accent2 10 3 3" xfId="216"/>
    <cellStyle name="20% - Accent2 10 4" xfId="217"/>
    <cellStyle name="20% - Accent2 10 4 2" xfId="218"/>
    <cellStyle name="20% - Accent2 10 4 3" xfId="219"/>
    <cellStyle name="20% - Accent2 10 5" xfId="220"/>
    <cellStyle name="20% - Accent2 10 6" xfId="221"/>
    <cellStyle name="20% - Accent2 10 7" xfId="222"/>
    <cellStyle name="20% - Accent2 11" xfId="223"/>
    <cellStyle name="20% - Accent2 11 2" xfId="224"/>
    <cellStyle name="20% - Accent2 11 2 2" xfId="225"/>
    <cellStyle name="20% - Accent2 11 2 3" xfId="226"/>
    <cellStyle name="20% - Accent2 11 3" xfId="227"/>
    <cellStyle name="20% - Accent2 11 3 2" xfId="228"/>
    <cellStyle name="20% - Accent2 11 3 3" xfId="229"/>
    <cellStyle name="20% - Accent2 11 4" xfId="230"/>
    <cellStyle name="20% - Accent2 11 4 2" xfId="231"/>
    <cellStyle name="20% - Accent2 11 4 3" xfId="232"/>
    <cellStyle name="20% - Accent2 11 5" xfId="233"/>
    <cellStyle name="20% - Accent2 11 6" xfId="234"/>
    <cellStyle name="20% - Accent2 11 7" xfId="235"/>
    <cellStyle name="20% - Accent2 12" xfId="236"/>
    <cellStyle name="20% - Accent2 12 2" xfId="237"/>
    <cellStyle name="20% - Accent2 12 2 2" xfId="238"/>
    <cellStyle name="20% - Accent2 12 2 3" xfId="239"/>
    <cellStyle name="20% - Accent2 12 3" xfId="240"/>
    <cellStyle name="20% - Accent2 12 3 2" xfId="241"/>
    <cellStyle name="20% - Accent2 12 3 3" xfId="242"/>
    <cellStyle name="20% - Accent2 12 4" xfId="243"/>
    <cellStyle name="20% - Accent2 12 4 2" xfId="244"/>
    <cellStyle name="20% - Accent2 12 4 3" xfId="245"/>
    <cellStyle name="20% - Accent2 12 5" xfId="246"/>
    <cellStyle name="20% - Accent2 12 6" xfId="247"/>
    <cellStyle name="20% - Accent2 12 7" xfId="248"/>
    <cellStyle name="20% - Accent2 13" xfId="249"/>
    <cellStyle name="20% - Accent2 13 2" xfId="250"/>
    <cellStyle name="20% - Accent2 13 2 2" xfId="251"/>
    <cellStyle name="20% - Accent2 13 2 3" xfId="252"/>
    <cellStyle name="20% - Accent2 13 3" xfId="253"/>
    <cellStyle name="20% - Accent2 13 3 2" xfId="254"/>
    <cellStyle name="20% - Accent2 13 3 3" xfId="255"/>
    <cellStyle name="20% - Accent2 13 4" xfId="256"/>
    <cellStyle name="20% - Accent2 13 4 2" xfId="257"/>
    <cellStyle name="20% - Accent2 13 4 3" xfId="258"/>
    <cellStyle name="20% - Accent2 13 5" xfId="259"/>
    <cellStyle name="20% - Accent2 13 6" xfId="260"/>
    <cellStyle name="20% - Accent2 13 7" xfId="261"/>
    <cellStyle name="20% - Accent2 14" xfId="262"/>
    <cellStyle name="20% - Accent2 14 2" xfId="263"/>
    <cellStyle name="20% - Accent2 14 2 2" xfId="264"/>
    <cellStyle name="20% - Accent2 14 2 3" xfId="265"/>
    <cellStyle name="20% - Accent2 14 3" xfId="266"/>
    <cellStyle name="20% - Accent2 14 3 2" xfId="267"/>
    <cellStyle name="20% - Accent2 14 3 3" xfId="268"/>
    <cellStyle name="20% - Accent2 14 4" xfId="269"/>
    <cellStyle name="20% - Accent2 14 4 2" xfId="270"/>
    <cellStyle name="20% - Accent2 14 4 3" xfId="271"/>
    <cellStyle name="20% - Accent2 14 5" xfId="272"/>
    <cellStyle name="20% - Accent2 14 6" xfId="273"/>
    <cellStyle name="20% - Accent2 14 7" xfId="274"/>
    <cellStyle name="20% - Accent2 15" xfId="275"/>
    <cellStyle name="20% - Accent2 15 2" xfId="276"/>
    <cellStyle name="20% - Accent2 15 2 2" xfId="277"/>
    <cellStyle name="20% - Accent2 15 2 3" xfId="278"/>
    <cellStyle name="20% - Accent2 15 3" xfId="279"/>
    <cellStyle name="20% - Accent2 15 3 2" xfId="280"/>
    <cellStyle name="20% - Accent2 15 3 3" xfId="281"/>
    <cellStyle name="20% - Accent2 15 4" xfId="282"/>
    <cellStyle name="20% - Accent2 15 4 2" xfId="283"/>
    <cellStyle name="20% - Accent2 15 4 3" xfId="284"/>
    <cellStyle name="20% - Accent2 15 5" xfId="285"/>
    <cellStyle name="20% - Accent2 15 6" xfId="286"/>
    <cellStyle name="20% - Accent2 15 7" xfId="287"/>
    <cellStyle name="20% - Accent2 16" xfId="288"/>
    <cellStyle name="20% - Accent2 16 2" xfId="289"/>
    <cellStyle name="20% - Accent2 16 2 2" xfId="290"/>
    <cellStyle name="20% - Accent2 16 2 3" xfId="291"/>
    <cellStyle name="20% - Accent2 16 3" xfId="292"/>
    <cellStyle name="20% - Accent2 16 3 2" xfId="293"/>
    <cellStyle name="20% - Accent2 16 3 3" xfId="294"/>
    <cellStyle name="20% - Accent2 16 4" xfId="295"/>
    <cellStyle name="20% - Accent2 16 4 2" xfId="296"/>
    <cellStyle name="20% - Accent2 16 4 3" xfId="297"/>
    <cellStyle name="20% - Accent2 16 5" xfId="298"/>
    <cellStyle name="20% - Accent2 16 6" xfId="299"/>
    <cellStyle name="20% - Accent2 16 7" xfId="300"/>
    <cellStyle name="20% - Accent2 17" xfId="301"/>
    <cellStyle name="20% - Accent2 17 2" xfId="302"/>
    <cellStyle name="20% - Accent2 17 2 2" xfId="303"/>
    <cellStyle name="20% - Accent2 17 2 3" xfId="304"/>
    <cellStyle name="20% - Accent2 17 3" xfId="305"/>
    <cellStyle name="20% - Accent2 17 3 2" xfId="306"/>
    <cellStyle name="20% - Accent2 17 3 3" xfId="307"/>
    <cellStyle name="20% - Accent2 17 4" xfId="308"/>
    <cellStyle name="20% - Accent2 17 4 2" xfId="309"/>
    <cellStyle name="20% - Accent2 17 4 3" xfId="310"/>
    <cellStyle name="20% - Accent2 17 5" xfId="311"/>
    <cellStyle name="20% - Accent2 17 6" xfId="312"/>
    <cellStyle name="20% - Accent2 17 7" xfId="313"/>
    <cellStyle name="20% - Accent2 2" xfId="314"/>
    <cellStyle name="20% - Accent2 2 2" xfId="315"/>
    <cellStyle name="20% - Accent2 2 2 2" xfId="316"/>
    <cellStyle name="20% - Accent2 2 2 3" xfId="317"/>
    <cellStyle name="20% - Accent2 2 3" xfId="318"/>
    <cellStyle name="20% - Accent2 2 3 2" xfId="319"/>
    <cellStyle name="20% - Accent2 2 3 3" xfId="320"/>
    <cellStyle name="20% - Accent2 2 4" xfId="321"/>
    <cellStyle name="20% - Accent2 2 4 2" xfId="322"/>
    <cellStyle name="20% - Accent2 2 4 3" xfId="323"/>
    <cellStyle name="20% - Accent2 2 5" xfId="324"/>
    <cellStyle name="20% - Accent2 2 6" xfId="325"/>
    <cellStyle name="20% - Accent2 2 7" xfId="326"/>
    <cellStyle name="20% - Accent2 3" xfId="327"/>
    <cellStyle name="20% - Accent2 3 2" xfId="328"/>
    <cellStyle name="20% - Accent2 3 2 2" xfId="329"/>
    <cellStyle name="20% - Accent2 3 2 3" xfId="330"/>
    <cellStyle name="20% - Accent2 3 3" xfId="331"/>
    <cellStyle name="20% - Accent2 3 3 2" xfId="332"/>
    <cellStyle name="20% - Accent2 3 3 3" xfId="333"/>
    <cellStyle name="20% - Accent2 3 4" xfId="334"/>
    <cellStyle name="20% - Accent2 3 4 2" xfId="335"/>
    <cellStyle name="20% - Accent2 3 4 3" xfId="336"/>
    <cellStyle name="20% - Accent2 3 5" xfId="337"/>
    <cellStyle name="20% - Accent2 3 6" xfId="338"/>
    <cellStyle name="20% - Accent2 3 7" xfId="339"/>
    <cellStyle name="20% - Accent2 4" xfId="340"/>
    <cellStyle name="20% - Accent2 4 2" xfId="341"/>
    <cellStyle name="20% - Accent2 4 2 2" xfId="342"/>
    <cellStyle name="20% - Accent2 4 2 3" xfId="343"/>
    <cellStyle name="20% - Accent2 4 3" xfId="344"/>
    <cellStyle name="20% - Accent2 4 3 2" xfId="345"/>
    <cellStyle name="20% - Accent2 4 3 3" xfId="346"/>
    <cellStyle name="20% - Accent2 4 4" xfId="347"/>
    <cellStyle name="20% - Accent2 4 4 2" xfId="348"/>
    <cellStyle name="20% - Accent2 4 4 3" xfId="349"/>
    <cellStyle name="20% - Accent2 4 5" xfId="350"/>
    <cellStyle name="20% - Accent2 4 6" xfId="351"/>
    <cellStyle name="20% - Accent2 4 7" xfId="352"/>
    <cellStyle name="20% - Accent2 5" xfId="353"/>
    <cellStyle name="20% - Accent2 5 2" xfId="354"/>
    <cellStyle name="20% - Accent2 5 2 2" xfId="355"/>
    <cellStyle name="20% - Accent2 5 2 3" xfId="356"/>
    <cellStyle name="20% - Accent2 5 3" xfId="357"/>
    <cellStyle name="20% - Accent2 5 3 2" xfId="358"/>
    <cellStyle name="20% - Accent2 5 3 3" xfId="359"/>
    <cellStyle name="20% - Accent2 5 4" xfId="360"/>
    <cellStyle name="20% - Accent2 5 4 2" xfId="361"/>
    <cellStyle name="20% - Accent2 5 4 3" xfId="362"/>
    <cellStyle name="20% - Accent2 5 5" xfId="363"/>
    <cellStyle name="20% - Accent2 5 6" xfId="364"/>
    <cellStyle name="20% - Accent2 5 7" xfId="365"/>
    <cellStyle name="20% - Accent2 6" xfId="366"/>
    <cellStyle name="20% - Accent2 6 2" xfId="367"/>
    <cellStyle name="20% - Accent2 6 2 2" xfId="368"/>
    <cellStyle name="20% - Accent2 6 2 3" xfId="369"/>
    <cellStyle name="20% - Accent2 6 3" xfId="370"/>
    <cellStyle name="20% - Accent2 6 3 2" xfId="371"/>
    <cellStyle name="20% - Accent2 6 3 3" xfId="372"/>
    <cellStyle name="20% - Accent2 6 4" xfId="373"/>
    <cellStyle name="20% - Accent2 6 4 2" xfId="374"/>
    <cellStyle name="20% - Accent2 6 4 3" xfId="375"/>
    <cellStyle name="20% - Accent2 6 5" xfId="376"/>
    <cellStyle name="20% - Accent2 6 6" xfId="377"/>
    <cellStyle name="20% - Accent2 6 7" xfId="378"/>
    <cellStyle name="20% - Accent2 7" xfId="379"/>
    <cellStyle name="20% - Accent2 7 2" xfId="380"/>
    <cellStyle name="20% - Accent2 7 2 2" xfId="381"/>
    <cellStyle name="20% - Accent2 7 2 3" xfId="382"/>
    <cellStyle name="20% - Accent2 7 3" xfId="383"/>
    <cellStyle name="20% - Accent2 7 3 2" xfId="384"/>
    <cellStyle name="20% - Accent2 7 3 3" xfId="385"/>
    <cellStyle name="20% - Accent2 7 4" xfId="386"/>
    <cellStyle name="20% - Accent2 7 4 2" xfId="387"/>
    <cellStyle name="20% - Accent2 7 4 3" xfId="388"/>
    <cellStyle name="20% - Accent2 7 5" xfId="389"/>
    <cellStyle name="20% - Accent2 7 6" xfId="390"/>
    <cellStyle name="20% - Accent2 7 7" xfId="391"/>
    <cellStyle name="20% - Accent2 8" xfId="392"/>
    <cellStyle name="20% - Accent2 8 2" xfId="393"/>
    <cellStyle name="20% - Accent2 8 2 2" xfId="394"/>
    <cellStyle name="20% - Accent2 8 2 3" xfId="395"/>
    <cellStyle name="20% - Accent2 8 3" xfId="396"/>
    <cellStyle name="20% - Accent2 8 3 2" xfId="397"/>
    <cellStyle name="20% - Accent2 8 3 3" xfId="398"/>
    <cellStyle name="20% - Accent2 8 4" xfId="399"/>
    <cellStyle name="20% - Accent2 8 4 2" xfId="400"/>
    <cellStyle name="20% - Accent2 8 4 3" xfId="401"/>
    <cellStyle name="20% - Accent2 8 5" xfId="402"/>
    <cellStyle name="20% - Accent2 8 6" xfId="403"/>
    <cellStyle name="20% - Accent2 8 7" xfId="404"/>
    <cellStyle name="20% - Accent2 9" xfId="405"/>
    <cellStyle name="20% - Accent2 9 2" xfId="406"/>
    <cellStyle name="20% - Accent2 9 2 2" xfId="407"/>
    <cellStyle name="20% - Accent2 9 2 3" xfId="408"/>
    <cellStyle name="20% - Accent2 9 3" xfId="409"/>
    <cellStyle name="20% - Accent2 9 3 2" xfId="410"/>
    <cellStyle name="20% - Accent2 9 3 3" xfId="411"/>
    <cellStyle name="20% - Accent2 9 4" xfId="412"/>
    <cellStyle name="20% - Accent2 9 4 2" xfId="413"/>
    <cellStyle name="20% - Accent2 9 4 3" xfId="414"/>
    <cellStyle name="20% - Accent2 9 5" xfId="415"/>
    <cellStyle name="20% - Accent2 9 6" xfId="416"/>
    <cellStyle name="20% - Accent2 9 7" xfId="417"/>
    <cellStyle name="20% - Accent3" xfId="3191" builtinId="38" customBuiltin="1"/>
    <cellStyle name="20% - Accent3 10" xfId="418"/>
    <cellStyle name="20% - Accent3 10 2" xfId="419"/>
    <cellStyle name="20% - Accent3 10 2 2" xfId="420"/>
    <cellStyle name="20% - Accent3 10 2 3" xfId="421"/>
    <cellStyle name="20% - Accent3 10 3" xfId="422"/>
    <cellStyle name="20% - Accent3 10 3 2" xfId="423"/>
    <cellStyle name="20% - Accent3 10 3 3" xfId="424"/>
    <cellStyle name="20% - Accent3 10 4" xfId="425"/>
    <cellStyle name="20% - Accent3 10 4 2" xfId="426"/>
    <cellStyle name="20% - Accent3 10 4 3" xfId="427"/>
    <cellStyle name="20% - Accent3 10 5" xfId="428"/>
    <cellStyle name="20% - Accent3 10 6" xfId="429"/>
    <cellStyle name="20% - Accent3 10 7" xfId="430"/>
    <cellStyle name="20% - Accent3 11" xfId="431"/>
    <cellStyle name="20% - Accent3 11 2" xfId="432"/>
    <cellStyle name="20% - Accent3 11 2 2" xfId="433"/>
    <cellStyle name="20% - Accent3 11 2 3" xfId="434"/>
    <cellStyle name="20% - Accent3 11 3" xfId="435"/>
    <cellStyle name="20% - Accent3 11 3 2" xfId="436"/>
    <cellStyle name="20% - Accent3 11 3 3" xfId="437"/>
    <cellStyle name="20% - Accent3 11 4" xfId="438"/>
    <cellStyle name="20% - Accent3 11 4 2" xfId="439"/>
    <cellStyle name="20% - Accent3 11 4 3" xfId="440"/>
    <cellStyle name="20% - Accent3 11 5" xfId="441"/>
    <cellStyle name="20% - Accent3 11 6" xfId="442"/>
    <cellStyle name="20% - Accent3 11 7" xfId="443"/>
    <cellStyle name="20% - Accent3 12" xfId="444"/>
    <cellStyle name="20% - Accent3 12 2" xfId="445"/>
    <cellStyle name="20% - Accent3 12 2 2" xfId="446"/>
    <cellStyle name="20% - Accent3 12 2 3" xfId="447"/>
    <cellStyle name="20% - Accent3 12 3" xfId="448"/>
    <cellStyle name="20% - Accent3 12 3 2" xfId="449"/>
    <cellStyle name="20% - Accent3 12 3 3" xfId="450"/>
    <cellStyle name="20% - Accent3 12 4" xfId="451"/>
    <cellStyle name="20% - Accent3 12 4 2" xfId="452"/>
    <cellStyle name="20% - Accent3 12 4 3" xfId="453"/>
    <cellStyle name="20% - Accent3 12 5" xfId="454"/>
    <cellStyle name="20% - Accent3 12 6" xfId="455"/>
    <cellStyle name="20% - Accent3 12 7" xfId="456"/>
    <cellStyle name="20% - Accent3 13" xfId="457"/>
    <cellStyle name="20% - Accent3 13 2" xfId="458"/>
    <cellStyle name="20% - Accent3 13 2 2" xfId="459"/>
    <cellStyle name="20% - Accent3 13 2 3" xfId="460"/>
    <cellStyle name="20% - Accent3 13 3" xfId="461"/>
    <cellStyle name="20% - Accent3 13 3 2" xfId="462"/>
    <cellStyle name="20% - Accent3 13 3 3" xfId="463"/>
    <cellStyle name="20% - Accent3 13 4" xfId="464"/>
    <cellStyle name="20% - Accent3 13 4 2" xfId="465"/>
    <cellStyle name="20% - Accent3 13 4 3" xfId="466"/>
    <cellStyle name="20% - Accent3 13 5" xfId="467"/>
    <cellStyle name="20% - Accent3 13 6" xfId="468"/>
    <cellStyle name="20% - Accent3 13 7" xfId="469"/>
    <cellStyle name="20% - Accent3 14" xfId="470"/>
    <cellStyle name="20% - Accent3 14 2" xfId="471"/>
    <cellStyle name="20% - Accent3 14 2 2" xfId="472"/>
    <cellStyle name="20% - Accent3 14 2 3" xfId="473"/>
    <cellStyle name="20% - Accent3 14 3" xfId="474"/>
    <cellStyle name="20% - Accent3 14 3 2" xfId="475"/>
    <cellStyle name="20% - Accent3 14 3 3" xfId="476"/>
    <cellStyle name="20% - Accent3 14 4" xfId="477"/>
    <cellStyle name="20% - Accent3 14 4 2" xfId="478"/>
    <cellStyle name="20% - Accent3 14 4 3" xfId="479"/>
    <cellStyle name="20% - Accent3 14 5" xfId="480"/>
    <cellStyle name="20% - Accent3 14 6" xfId="481"/>
    <cellStyle name="20% - Accent3 14 7" xfId="482"/>
    <cellStyle name="20% - Accent3 15" xfId="483"/>
    <cellStyle name="20% - Accent3 15 2" xfId="484"/>
    <cellStyle name="20% - Accent3 15 2 2" xfId="485"/>
    <cellStyle name="20% - Accent3 15 2 3" xfId="486"/>
    <cellStyle name="20% - Accent3 15 3" xfId="487"/>
    <cellStyle name="20% - Accent3 15 3 2" xfId="488"/>
    <cellStyle name="20% - Accent3 15 3 3" xfId="489"/>
    <cellStyle name="20% - Accent3 15 4" xfId="490"/>
    <cellStyle name="20% - Accent3 15 4 2" xfId="491"/>
    <cellStyle name="20% - Accent3 15 4 3" xfId="492"/>
    <cellStyle name="20% - Accent3 15 5" xfId="493"/>
    <cellStyle name="20% - Accent3 15 6" xfId="494"/>
    <cellStyle name="20% - Accent3 15 7" xfId="495"/>
    <cellStyle name="20% - Accent3 16" xfId="496"/>
    <cellStyle name="20% - Accent3 16 2" xfId="497"/>
    <cellStyle name="20% - Accent3 16 2 2" xfId="498"/>
    <cellStyle name="20% - Accent3 16 2 3" xfId="499"/>
    <cellStyle name="20% - Accent3 16 3" xfId="500"/>
    <cellStyle name="20% - Accent3 16 3 2" xfId="501"/>
    <cellStyle name="20% - Accent3 16 3 3" xfId="502"/>
    <cellStyle name="20% - Accent3 16 4" xfId="503"/>
    <cellStyle name="20% - Accent3 16 4 2" xfId="504"/>
    <cellStyle name="20% - Accent3 16 4 3" xfId="505"/>
    <cellStyle name="20% - Accent3 16 5" xfId="506"/>
    <cellStyle name="20% - Accent3 16 6" xfId="507"/>
    <cellStyle name="20% - Accent3 16 7" xfId="508"/>
    <cellStyle name="20% - Accent3 17" xfId="509"/>
    <cellStyle name="20% - Accent3 17 2" xfId="510"/>
    <cellStyle name="20% - Accent3 17 2 2" xfId="511"/>
    <cellStyle name="20% - Accent3 17 2 3" xfId="512"/>
    <cellStyle name="20% - Accent3 17 3" xfId="513"/>
    <cellStyle name="20% - Accent3 17 3 2" xfId="514"/>
    <cellStyle name="20% - Accent3 17 3 3" xfId="515"/>
    <cellStyle name="20% - Accent3 17 4" xfId="516"/>
    <cellStyle name="20% - Accent3 17 4 2" xfId="517"/>
    <cellStyle name="20% - Accent3 17 4 3" xfId="518"/>
    <cellStyle name="20% - Accent3 17 5" xfId="519"/>
    <cellStyle name="20% - Accent3 17 6" xfId="520"/>
    <cellStyle name="20% - Accent3 17 7" xfId="521"/>
    <cellStyle name="20% - Accent3 2" xfId="522"/>
    <cellStyle name="20% - Accent3 2 2" xfId="523"/>
    <cellStyle name="20% - Accent3 2 2 2" xfId="524"/>
    <cellStyle name="20% - Accent3 2 2 3" xfId="525"/>
    <cellStyle name="20% - Accent3 2 3" xfId="526"/>
    <cellStyle name="20% - Accent3 2 3 2" xfId="527"/>
    <cellStyle name="20% - Accent3 2 3 3" xfId="528"/>
    <cellStyle name="20% - Accent3 2 4" xfId="529"/>
    <cellStyle name="20% - Accent3 2 4 2" xfId="530"/>
    <cellStyle name="20% - Accent3 2 4 3" xfId="531"/>
    <cellStyle name="20% - Accent3 2 5" xfId="532"/>
    <cellStyle name="20% - Accent3 2 6" xfId="533"/>
    <cellStyle name="20% - Accent3 2 7" xfId="534"/>
    <cellStyle name="20% - Accent3 3" xfId="535"/>
    <cellStyle name="20% - Accent3 3 2" xfId="536"/>
    <cellStyle name="20% - Accent3 3 2 2" xfId="537"/>
    <cellStyle name="20% - Accent3 3 2 3" xfId="538"/>
    <cellStyle name="20% - Accent3 3 3" xfId="539"/>
    <cellStyle name="20% - Accent3 3 3 2" xfId="540"/>
    <cellStyle name="20% - Accent3 3 3 3" xfId="541"/>
    <cellStyle name="20% - Accent3 3 4" xfId="542"/>
    <cellStyle name="20% - Accent3 3 4 2" xfId="543"/>
    <cellStyle name="20% - Accent3 3 4 3" xfId="544"/>
    <cellStyle name="20% - Accent3 3 5" xfId="545"/>
    <cellStyle name="20% - Accent3 3 6" xfId="546"/>
    <cellStyle name="20% - Accent3 3 7" xfId="547"/>
    <cellStyle name="20% - Accent3 4" xfId="548"/>
    <cellStyle name="20% - Accent3 4 2" xfId="549"/>
    <cellStyle name="20% - Accent3 4 2 2" xfId="550"/>
    <cellStyle name="20% - Accent3 4 2 3" xfId="551"/>
    <cellStyle name="20% - Accent3 4 3" xfId="552"/>
    <cellStyle name="20% - Accent3 4 3 2" xfId="553"/>
    <cellStyle name="20% - Accent3 4 3 3" xfId="554"/>
    <cellStyle name="20% - Accent3 4 4" xfId="555"/>
    <cellStyle name="20% - Accent3 4 4 2" xfId="556"/>
    <cellStyle name="20% - Accent3 4 4 3" xfId="557"/>
    <cellStyle name="20% - Accent3 4 5" xfId="558"/>
    <cellStyle name="20% - Accent3 4 6" xfId="559"/>
    <cellStyle name="20% - Accent3 4 7" xfId="560"/>
    <cellStyle name="20% - Accent3 5" xfId="561"/>
    <cellStyle name="20% - Accent3 5 2" xfId="562"/>
    <cellStyle name="20% - Accent3 5 2 2" xfId="563"/>
    <cellStyle name="20% - Accent3 5 2 3" xfId="564"/>
    <cellStyle name="20% - Accent3 5 3" xfId="565"/>
    <cellStyle name="20% - Accent3 5 3 2" xfId="566"/>
    <cellStyle name="20% - Accent3 5 3 3" xfId="567"/>
    <cellStyle name="20% - Accent3 5 4" xfId="568"/>
    <cellStyle name="20% - Accent3 5 4 2" xfId="569"/>
    <cellStyle name="20% - Accent3 5 4 3" xfId="570"/>
    <cellStyle name="20% - Accent3 5 5" xfId="571"/>
    <cellStyle name="20% - Accent3 5 6" xfId="572"/>
    <cellStyle name="20% - Accent3 5 7" xfId="573"/>
    <cellStyle name="20% - Accent3 6" xfId="574"/>
    <cellStyle name="20% - Accent3 6 2" xfId="575"/>
    <cellStyle name="20% - Accent3 6 2 2" xfId="576"/>
    <cellStyle name="20% - Accent3 6 2 3" xfId="577"/>
    <cellStyle name="20% - Accent3 6 3" xfId="578"/>
    <cellStyle name="20% - Accent3 6 3 2" xfId="579"/>
    <cellStyle name="20% - Accent3 6 3 3" xfId="580"/>
    <cellStyle name="20% - Accent3 6 4" xfId="581"/>
    <cellStyle name="20% - Accent3 6 4 2" xfId="582"/>
    <cellStyle name="20% - Accent3 6 4 3" xfId="583"/>
    <cellStyle name="20% - Accent3 6 5" xfId="584"/>
    <cellStyle name="20% - Accent3 6 6" xfId="585"/>
    <cellStyle name="20% - Accent3 6 7" xfId="586"/>
    <cellStyle name="20% - Accent3 7" xfId="587"/>
    <cellStyle name="20% - Accent3 7 2" xfId="588"/>
    <cellStyle name="20% - Accent3 7 2 2" xfId="589"/>
    <cellStyle name="20% - Accent3 7 2 3" xfId="590"/>
    <cellStyle name="20% - Accent3 7 3" xfId="591"/>
    <cellStyle name="20% - Accent3 7 3 2" xfId="592"/>
    <cellStyle name="20% - Accent3 7 3 3" xfId="593"/>
    <cellStyle name="20% - Accent3 7 4" xfId="594"/>
    <cellStyle name="20% - Accent3 7 4 2" xfId="595"/>
    <cellStyle name="20% - Accent3 7 4 3" xfId="596"/>
    <cellStyle name="20% - Accent3 7 5" xfId="597"/>
    <cellStyle name="20% - Accent3 7 6" xfId="598"/>
    <cellStyle name="20% - Accent3 7 7" xfId="599"/>
    <cellStyle name="20% - Accent3 8" xfId="600"/>
    <cellStyle name="20% - Accent3 8 2" xfId="601"/>
    <cellStyle name="20% - Accent3 8 2 2" xfId="602"/>
    <cellStyle name="20% - Accent3 8 2 3" xfId="603"/>
    <cellStyle name="20% - Accent3 8 3" xfId="604"/>
    <cellStyle name="20% - Accent3 8 3 2" xfId="605"/>
    <cellStyle name="20% - Accent3 8 3 3" xfId="606"/>
    <cellStyle name="20% - Accent3 8 4" xfId="607"/>
    <cellStyle name="20% - Accent3 8 4 2" xfId="608"/>
    <cellStyle name="20% - Accent3 8 4 3" xfId="609"/>
    <cellStyle name="20% - Accent3 8 5" xfId="610"/>
    <cellStyle name="20% - Accent3 8 6" xfId="611"/>
    <cellStyle name="20% - Accent3 8 7" xfId="612"/>
    <cellStyle name="20% - Accent3 9" xfId="613"/>
    <cellStyle name="20% - Accent3 9 2" xfId="614"/>
    <cellStyle name="20% - Accent3 9 2 2" xfId="615"/>
    <cellStyle name="20% - Accent3 9 2 3" xfId="616"/>
    <cellStyle name="20% - Accent3 9 3" xfId="617"/>
    <cellStyle name="20% - Accent3 9 3 2" xfId="618"/>
    <cellStyle name="20% - Accent3 9 3 3" xfId="619"/>
    <cellStyle name="20% - Accent3 9 4" xfId="620"/>
    <cellStyle name="20% - Accent3 9 4 2" xfId="621"/>
    <cellStyle name="20% - Accent3 9 4 3" xfId="622"/>
    <cellStyle name="20% - Accent3 9 5" xfId="623"/>
    <cellStyle name="20% - Accent3 9 6" xfId="624"/>
    <cellStyle name="20% - Accent3 9 7" xfId="625"/>
    <cellStyle name="20% - Accent4" xfId="3195" builtinId="42" customBuiltin="1"/>
    <cellStyle name="20% - Accent4 10" xfId="626"/>
    <cellStyle name="20% - Accent4 10 2" xfId="627"/>
    <cellStyle name="20% - Accent4 10 2 2" xfId="628"/>
    <cellStyle name="20% - Accent4 10 2 3" xfId="629"/>
    <cellStyle name="20% - Accent4 10 3" xfId="630"/>
    <cellStyle name="20% - Accent4 10 3 2" xfId="631"/>
    <cellStyle name="20% - Accent4 10 3 3" xfId="632"/>
    <cellStyle name="20% - Accent4 10 4" xfId="633"/>
    <cellStyle name="20% - Accent4 10 4 2" xfId="634"/>
    <cellStyle name="20% - Accent4 10 4 3" xfId="635"/>
    <cellStyle name="20% - Accent4 10 5" xfId="636"/>
    <cellStyle name="20% - Accent4 10 6" xfId="637"/>
    <cellStyle name="20% - Accent4 10 7" xfId="638"/>
    <cellStyle name="20% - Accent4 11" xfId="639"/>
    <cellStyle name="20% - Accent4 11 2" xfId="640"/>
    <cellStyle name="20% - Accent4 11 2 2" xfId="641"/>
    <cellStyle name="20% - Accent4 11 2 3" xfId="642"/>
    <cellStyle name="20% - Accent4 11 3" xfId="643"/>
    <cellStyle name="20% - Accent4 11 3 2" xfId="644"/>
    <cellStyle name="20% - Accent4 11 3 3" xfId="645"/>
    <cellStyle name="20% - Accent4 11 4" xfId="646"/>
    <cellStyle name="20% - Accent4 11 4 2" xfId="647"/>
    <cellStyle name="20% - Accent4 11 4 3" xfId="648"/>
    <cellStyle name="20% - Accent4 11 5" xfId="649"/>
    <cellStyle name="20% - Accent4 11 6" xfId="650"/>
    <cellStyle name="20% - Accent4 11 7" xfId="651"/>
    <cellStyle name="20% - Accent4 12" xfId="652"/>
    <cellStyle name="20% - Accent4 12 2" xfId="653"/>
    <cellStyle name="20% - Accent4 12 2 2" xfId="654"/>
    <cellStyle name="20% - Accent4 12 2 3" xfId="655"/>
    <cellStyle name="20% - Accent4 12 3" xfId="656"/>
    <cellStyle name="20% - Accent4 12 3 2" xfId="657"/>
    <cellStyle name="20% - Accent4 12 3 3" xfId="658"/>
    <cellStyle name="20% - Accent4 12 4" xfId="659"/>
    <cellStyle name="20% - Accent4 12 4 2" xfId="660"/>
    <cellStyle name="20% - Accent4 12 4 3" xfId="661"/>
    <cellStyle name="20% - Accent4 12 5" xfId="662"/>
    <cellStyle name="20% - Accent4 12 6" xfId="663"/>
    <cellStyle name="20% - Accent4 12 7" xfId="664"/>
    <cellStyle name="20% - Accent4 13" xfId="665"/>
    <cellStyle name="20% - Accent4 13 2" xfId="666"/>
    <cellStyle name="20% - Accent4 13 2 2" xfId="667"/>
    <cellStyle name="20% - Accent4 13 2 3" xfId="668"/>
    <cellStyle name="20% - Accent4 13 3" xfId="669"/>
    <cellStyle name="20% - Accent4 13 3 2" xfId="670"/>
    <cellStyle name="20% - Accent4 13 3 3" xfId="671"/>
    <cellStyle name="20% - Accent4 13 4" xfId="672"/>
    <cellStyle name="20% - Accent4 13 4 2" xfId="673"/>
    <cellStyle name="20% - Accent4 13 4 3" xfId="674"/>
    <cellStyle name="20% - Accent4 13 5" xfId="675"/>
    <cellStyle name="20% - Accent4 13 6" xfId="676"/>
    <cellStyle name="20% - Accent4 13 7" xfId="677"/>
    <cellStyle name="20% - Accent4 14" xfId="678"/>
    <cellStyle name="20% - Accent4 14 2" xfId="679"/>
    <cellStyle name="20% - Accent4 14 2 2" xfId="680"/>
    <cellStyle name="20% - Accent4 14 2 3" xfId="681"/>
    <cellStyle name="20% - Accent4 14 3" xfId="682"/>
    <cellStyle name="20% - Accent4 14 3 2" xfId="683"/>
    <cellStyle name="20% - Accent4 14 3 3" xfId="684"/>
    <cellStyle name="20% - Accent4 14 4" xfId="685"/>
    <cellStyle name="20% - Accent4 14 4 2" xfId="686"/>
    <cellStyle name="20% - Accent4 14 4 3" xfId="687"/>
    <cellStyle name="20% - Accent4 14 5" xfId="688"/>
    <cellStyle name="20% - Accent4 14 6" xfId="689"/>
    <cellStyle name="20% - Accent4 14 7" xfId="690"/>
    <cellStyle name="20% - Accent4 15" xfId="691"/>
    <cellStyle name="20% - Accent4 15 2" xfId="692"/>
    <cellStyle name="20% - Accent4 15 2 2" xfId="693"/>
    <cellStyle name="20% - Accent4 15 2 3" xfId="694"/>
    <cellStyle name="20% - Accent4 15 3" xfId="695"/>
    <cellStyle name="20% - Accent4 15 3 2" xfId="696"/>
    <cellStyle name="20% - Accent4 15 3 3" xfId="697"/>
    <cellStyle name="20% - Accent4 15 4" xfId="698"/>
    <cellStyle name="20% - Accent4 15 4 2" xfId="699"/>
    <cellStyle name="20% - Accent4 15 4 3" xfId="700"/>
    <cellStyle name="20% - Accent4 15 5" xfId="701"/>
    <cellStyle name="20% - Accent4 15 6" xfId="702"/>
    <cellStyle name="20% - Accent4 15 7" xfId="703"/>
    <cellStyle name="20% - Accent4 16" xfId="704"/>
    <cellStyle name="20% - Accent4 16 2" xfId="705"/>
    <cellStyle name="20% - Accent4 16 2 2" xfId="706"/>
    <cellStyle name="20% - Accent4 16 2 3" xfId="707"/>
    <cellStyle name="20% - Accent4 16 3" xfId="708"/>
    <cellStyle name="20% - Accent4 16 3 2" xfId="709"/>
    <cellStyle name="20% - Accent4 16 3 3" xfId="710"/>
    <cellStyle name="20% - Accent4 16 4" xfId="711"/>
    <cellStyle name="20% - Accent4 16 4 2" xfId="712"/>
    <cellStyle name="20% - Accent4 16 4 3" xfId="713"/>
    <cellStyle name="20% - Accent4 16 5" xfId="714"/>
    <cellStyle name="20% - Accent4 16 6" xfId="715"/>
    <cellStyle name="20% - Accent4 16 7" xfId="716"/>
    <cellStyle name="20% - Accent4 17" xfId="717"/>
    <cellStyle name="20% - Accent4 17 2" xfId="718"/>
    <cellStyle name="20% - Accent4 17 2 2" xfId="719"/>
    <cellStyle name="20% - Accent4 17 2 3" xfId="720"/>
    <cellStyle name="20% - Accent4 17 3" xfId="721"/>
    <cellStyle name="20% - Accent4 17 3 2" xfId="722"/>
    <cellStyle name="20% - Accent4 17 3 3" xfId="723"/>
    <cellStyle name="20% - Accent4 17 4" xfId="724"/>
    <cellStyle name="20% - Accent4 17 4 2" xfId="725"/>
    <cellStyle name="20% - Accent4 17 4 3" xfId="726"/>
    <cellStyle name="20% - Accent4 17 5" xfId="727"/>
    <cellStyle name="20% - Accent4 17 6" xfId="728"/>
    <cellStyle name="20% - Accent4 17 7" xfId="729"/>
    <cellStyle name="20% - Accent4 2" xfId="730"/>
    <cellStyle name="20% - Accent4 2 2" xfId="731"/>
    <cellStyle name="20% - Accent4 2 2 2" xfId="732"/>
    <cellStyle name="20% - Accent4 2 2 3" xfId="733"/>
    <cellStyle name="20% - Accent4 2 3" xfId="734"/>
    <cellStyle name="20% - Accent4 2 3 2" xfId="735"/>
    <cellStyle name="20% - Accent4 2 3 3" xfId="736"/>
    <cellStyle name="20% - Accent4 2 4" xfId="737"/>
    <cellStyle name="20% - Accent4 2 4 2" xfId="738"/>
    <cellStyle name="20% - Accent4 2 4 3" xfId="739"/>
    <cellStyle name="20% - Accent4 2 5" xfId="740"/>
    <cellStyle name="20% - Accent4 2 6" xfId="741"/>
    <cellStyle name="20% - Accent4 2 7" xfId="742"/>
    <cellStyle name="20% - Accent4 3" xfId="743"/>
    <cellStyle name="20% - Accent4 3 2" xfId="744"/>
    <cellStyle name="20% - Accent4 3 2 2" xfId="745"/>
    <cellStyle name="20% - Accent4 3 2 3" xfId="746"/>
    <cellStyle name="20% - Accent4 3 3" xfId="747"/>
    <cellStyle name="20% - Accent4 3 3 2" xfId="748"/>
    <cellStyle name="20% - Accent4 3 3 3" xfId="749"/>
    <cellStyle name="20% - Accent4 3 4" xfId="750"/>
    <cellStyle name="20% - Accent4 3 4 2" xfId="751"/>
    <cellStyle name="20% - Accent4 3 4 3" xfId="752"/>
    <cellStyle name="20% - Accent4 3 5" xfId="753"/>
    <cellStyle name="20% - Accent4 3 6" xfId="754"/>
    <cellStyle name="20% - Accent4 3 7" xfId="755"/>
    <cellStyle name="20% - Accent4 4" xfId="756"/>
    <cellStyle name="20% - Accent4 4 2" xfId="757"/>
    <cellStyle name="20% - Accent4 4 2 2" xfId="758"/>
    <cellStyle name="20% - Accent4 4 2 3" xfId="759"/>
    <cellStyle name="20% - Accent4 4 3" xfId="760"/>
    <cellStyle name="20% - Accent4 4 3 2" xfId="761"/>
    <cellStyle name="20% - Accent4 4 3 3" xfId="762"/>
    <cellStyle name="20% - Accent4 4 4" xfId="763"/>
    <cellStyle name="20% - Accent4 4 4 2" xfId="764"/>
    <cellStyle name="20% - Accent4 4 4 3" xfId="765"/>
    <cellStyle name="20% - Accent4 4 5" xfId="766"/>
    <cellStyle name="20% - Accent4 4 6" xfId="767"/>
    <cellStyle name="20% - Accent4 4 7" xfId="768"/>
    <cellStyle name="20% - Accent4 5" xfId="769"/>
    <cellStyle name="20% - Accent4 5 2" xfId="770"/>
    <cellStyle name="20% - Accent4 5 2 2" xfId="771"/>
    <cellStyle name="20% - Accent4 5 2 3" xfId="772"/>
    <cellStyle name="20% - Accent4 5 3" xfId="773"/>
    <cellStyle name="20% - Accent4 5 3 2" xfId="774"/>
    <cellStyle name="20% - Accent4 5 3 3" xfId="775"/>
    <cellStyle name="20% - Accent4 5 4" xfId="776"/>
    <cellStyle name="20% - Accent4 5 4 2" xfId="777"/>
    <cellStyle name="20% - Accent4 5 4 3" xfId="778"/>
    <cellStyle name="20% - Accent4 5 5" xfId="779"/>
    <cellStyle name="20% - Accent4 5 6" xfId="780"/>
    <cellStyle name="20% - Accent4 5 7" xfId="781"/>
    <cellStyle name="20% - Accent4 6" xfId="782"/>
    <cellStyle name="20% - Accent4 6 2" xfId="783"/>
    <cellStyle name="20% - Accent4 6 2 2" xfId="784"/>
    <cellStyle name="20% - Accent4 6 2 3" xfId="785"/>
    <cellStyle name="20% - Accent4 6 3" xfId="786"/>
    <cellStyle name="20% - Accent4 6 3 2" xfId="787"/>
    <cellStyle name="20% - Accent4 6 3 3" xfId="788"/>
    <cellStyle name="20% - Accent4 6 4" xfId="789"/>
    <cellStyle name="20% - Accent4 6 4 2" xfId="790"/>
    <cellStyle name="20% - Accent4 6 4 3" xfId="791"/>
    <cellStyle name="20% - Accent4 6 5" xfId="792"/>
    <cellStyle name="20% - Accent4 6 6" xfId="793"/>
    <cellStyle name="20% - Accent4 6 7" xfId="794"/>
    <cellStyle name="20% - Accent4 7" xfId="795"/>
    <cellStyle name="20% - Accent4 7 2" xfId="796"/>
    <cellStyle name="20% - Accent4 7 2 2" xfId="797"/>
    <cellStyle name="20% - Accent4 7 2 3" xfId="798"/>
    <cellStyle name="20% - Accent4 7 3" xfId="799"/>
    <cellStyle name="20% - Accent4 7 3 2" xfId="800"/>
    <cellStyle name="20% - Accent4 7 3 3" xfId="801"/>
    <cellStyle name="20% - Accent4 7 4" xfId="802"/>
    <cellStyle name="20% - Accent4 7 4 2" xfId="803"/>
    <cellStyle name="20% - Accent4 7 4 3" xfId="804"/>
    <cellStyle name="20% - Accent4 7 5" xfId="805"/>
    <cellStyle name="20% - Accent4 7 6" xfId="806"/>
    <cellStyle name="20% - Accent4 7 7" xfId="807"/>
    <cellStyle name="20% - Accent4 8" xfId="808"/>
    <cellStyle name="20% - Accent4 8 2" xfId="809"/>
    <cellStyle name="20% - Accent4 8 2 2" xfId="810"/>
    <cellStyle name="20% - Accent4 8 2 3" xfId="811"/>
    <cellStyle name="20% - Accent4 8 3" xfId="812"/>
    <cellStyle name="20% - Accent4 8 3 2" xfId="813"/>
    <cellStyle name="20% - Accent4 8 3 3" xfId="814"/>
    <cellStyle name="20% - Accent4 8 4" xfId="815"/>
    <cellStyle name="20% - Accent4 8 4 2" xfId="816"/>
    <cellStyle name="20% - Accent4 8 4 3" xfId="817"/>
    <cellStyle name="20% - Accent4 8 5" xfId="818"/>
    <cellStyle name="20% - Accent4 8 6" xfId="819"/>
    <cellStyle name="20% - Accent4 8 7" xfId="820"/>
    <cellStyle name="20% - Accent4 9" xfId="821"/>
    <cellStyle name="20% - Accent4 9 2" xfId="822"/>
    <cellStyle name="20% - Accent4 9 2 2" xfId="823"/>
    <cellStyle name="20% - Accent4 9 2 3" xfId="824"/>
    <cellStyle name="20% - Accent4 9 3" xfId="825"/>
    <cellStyle name="20% - Accent4 9 3 2" xfId="826"/>
    <cellStyle name="20% - Accent4 9 3 3" xfId="827"/>
    <cellStyle name="20% - Accent4 9 4" xfId="828"/>
    <cellStyle name="20% - Accent4 9 4 2" xfId="829"/>
    <cellStyle name="20% - Accent4 9 4 3" xfId="830"/>
    <cellStyle name="20% - Accent4 9 5" xfId="831"/>
    <cellStyle name="20% - Accent4 9 6" xfId="832"/>
    <cellStyle name="20% - Accent4 9 7" xfId="833"/>
    <cellStyle name="20% - Accent5" xfId="3199" builtinId="46" customBuiltin="1"/>
    <cellStyle name="20% - Accent5 10" xfId="834"/>
    <cellStyle name="20% - Accent5 10 2" xfId="835"/>
    <cellStyle name="20% - Accent5 10 2 2" xfId="836"/>
    <cellStyle name="20% - Accent5 10 2 3" xfId="837"/>
    <cellStyle name="20% - Accent5 10 3" xfId="838"/>
    <cellStyle name="20% - Accent5 10 3 2" xfId="839"/>
    <cellStyle name="20% - Accent5 10 3 3" xfId="840"/>
    <cellStyle name="20% - Accent5 10 4" xfId="841"/>
    <cellStyle name="20% - Accent5 10 4 2" xfId="842"/>
    <cellStyle name="20% - Accent5 10 4 3" xfId="843"/>
    <cellStyle name="20% - Accent5 10 5" xfId="844"/>
    <cellStyle name="20% - Accent5 10 6" xfId="845"/>
    <cellStyle name="20% - Accent5 10 7" xfId="846"/>
    <cellStyle name="20% - Accent5 11" xfId="847"/>
    <cellStyle name="20% - Accent5 11 2" xfId="848"/>
    <cellStyle name="20% - Accent5 11 2 2" xfId="849"/>
    <cellStyle name="20% - Accent5 11 2 3" xfId="850"/>
    <cellStyle name="20% - Accent5 11 3" xfId="851"/>
    <cellStyle name="20% - Accent5 11 3 2" xfId="852"/>
    <cellStyle name="20% - Accent5 11 3 3" xfId="853"/>
    <cellStyle name="20% - Accent5 11 4" xfId="854"/>
    <cellStyle name="20% - Accent5 11 4 2" xfId="855"/>
    <cellStyle name="20% - Accent5 11 4 3" xfId="856"/>
    <cellStyle name="20% - Accent5 11 5" xfId="857"/>
    <cellStyle name="20% - Accent5 11 6" xfId="858"/>
    <cellStyle name="20% - Accent5 11 7" xfId="859"/>
    <cellStyle name="20% - Accent5 12" xfId="860"/>
    <cellStyle name="20% - Accent5 12 2" xfId="861"/>
    <cellStyle name="20% - Accent5 12 2 2" xfId="862"/>
    <cellStyle name="20% - Accent5 12 2 3" xfId="863"/>
    <cellStyle name="20% - Accent5 12 3" xfId="864"/>
    <cellStyle name="20% - Accent5 12 3 2" xfId="865"/>
    <cellStyle name="20% - Accent5 12 3 3" xfId="866"/>
    <cellStyle name="20% - Accent5 12 4" xfId="867"/>
    <cellStyle name="20% - Accent5 12 4 2" xfId="868"/>
    <cellStyle name="20% - Accent5 12 4 3" xfId="869"/>
    <cellStyle name="20% - Accent5 12 5" xfId="870"/>
    <cellStyle name="20% - Accent5 12 6" xfId="871"/>
    <cellStyle name="20% - Accent5 12 7" xfId="872"/>
    <cellStyle name="20% - Accent5 13" xfId="873"/>
    <cellStyle name="20% - Accent5 13 2" xfId="874"/>
    <cellStyle name="20% - Accent5 13 2 2" xfId="875"/>
    <cellStyle name="20% - Accent5 13 2 3" xfId="876"/>
    <cellStyle name="20% - Accent5 13 3" xfId="877"/>
    <cellStyle name="20% - Accent5 13 3 2" xfId="878"/>
    <cellStyle name="20% - Accent5 13 3 3" xfId="879"/>
    <cellStyle name="20% - Accent5 13 4" xfId="880"/>
    <cellStyle name="20% - Accent5 13 4 2" xfId="881"/>
    <cellStyle name="20% - Accent5 13 4 3" xfId="882"/>
    <cellStyle name="20% - Accent5 13 5" xfId="883"/>
    <cellStyle name="20% - Accent5 13 6" xfId="884"/>
    <cellStyle name="20% - Accent5 13 7" xfId="885"/>
    <cellStyle name="20% - Accent5 14" xfId="886"/>
    <cellStyle name="20% - Accent5 14 2" xfId="887"/>
    <cellStyle name="20% - Accent5 14 2 2" xfId="888"/>
    <cellStyle name="20% - Accent5 14 2 3" xfId="889"/>
    <cellStyle name="20% - Accent5 14 3" xfId="890"/>
    <cellStyle name="20% - Accent5 14 3 2" xfId="891"/>
    <cellStyle name="20% - Accent5 14 3 3" xfId="892"/>
    <cellStyle name="20% - Accent5 14 4" xfId="893"/>
    <cellStyle name="20% - Accent5 14 4 2" xfId="894"/>
    <cellStyle name="20% - Accent5 14 4 3" xfId="895"/>
    <cellStyle name="20% - Accent5 14 5" xfId="896"/>
    <cellStyle name="20% - Accent5 14 6" xfId="897"/>
    <cellStyle name="20% - Accent5 14 7" xfId="898"/>
    <cellStyle name="20% - Accent5 15" xfId="899"/>
    <cellStyle name="20% - Accent5 15 2" xfId="900"/>
    <cellStyle name="20% - Accent5 15 2 2" xfId="901"/>
    <cellStyle name="20% - Accent5 15 2 3" xfId="902"/>
    <cellStyle name="20% - Accent5 15 3" xfId="903"/>
    <cellStyle name="20% - Accent5 15 3 2" xfId="904"/>
    <cellStyle name="20% - Accent5 15 3 3" xfId="905"/>
    <cellStyle name="20% - Accent5 15 4" xfId="906"/>
    <cellStyle name="20% - Accent5 15 4 2" xfId="907"/>
    <cellStyle name="20% - Accent5 15 4 3" xfId="908"/>
    <cellStyle name="20% - Accent5 15 5" xfId="909"/>
    <cellStyle name="20% - Accent5 15 6" xfId="910"/>
    <cellStyle name="20% - Accent5 15 7" xfId="911"/>
    <cellStyle name="20% - Accent5 16" xfId="912"/>
    <cellStyle name="20% - Accent5 16 2" xfId="913"/>
    <cellStyle name="20% - Accent5 16 2 2" xfId="914"/>
    <cellStyle name="20% - Accent5 16 2 3" xfId="915"/>
    <cellStyle name="20% - Accent5 16 3" xfId="916"/>
    <cellStyle name="20% - Accent5 16 3 2" xfId="917"/>
    <cellStyle name="20% - Accent5 16 3 3" xfId="918"/>
    <cellStyle name="20% - Accent5 16 4" xfId="919"/>
    <cellStyle name="20% - Accent5 16 4 2" xfId="920"/>
    <cellStyle name="20% - Accent5 16 4 3" xfId="921"/>
    <cellStyle name="20% - Accent5 16 5" xfId="922"/>
    <cellStyle name="20% - Accent5 16 6" xfId="923"/>
    <cellStyle name="20% - Accent5 16 7" xfId="924"/>
    <cellStyle name="20% - Accent5 17" xfId="925"/>
    <cellStyle name="20% - Accent5 17 2" xfId="926"/>
    <cellStyle name="20% - Accent5 17 2 2" xfId="927"/>
    <cellStyle name="20% - Accent5 17 2 3" xfId="928"/>
    <cellStyle name="20% - Accent5 17 3" xfId="929"/>
    <cellStyle name="20% - Accent5 17 3 2" xfId="930"/>
    <cellStyle name="20% - Accent5 17 3 3" xfId="931"/>
    <cellStyle name="20% - Accent5 17 4" xfId="932"/>
    <cellStyle name="20% - Accent5 17 4 2" xfId="933"/>
    <cellStyle name="20% - Accent5 17 4 3" xfId="934"/>
    <cellStyle name="20% - Accent5 17 5" xfId="935"/>
    <cellStyle name="20% - Accent5 17 6" xfId="936"/>
    <cellStyle name="20% - Accent5 17 7" xfId="937"/>
    <cellStyle name="20% - Accent5 2" xfId="938"/>
    <cellStyle name="20% - Accent5 2 2" xfId="939"/>
    <cellStyle name="20% - Accent5 2 2 2" xfId="940"/>
    <cellStyle name="20% - Accent5 2 2 3" xfId="941"/>
    <cellStyle name="20% - Accent5 2 3" xfId="942"/>
    <cellStyle name="20% - Accent5 2 3 2" xfId="943"/>
    <cellStyle name="20% - Accent5 2 3 3" xfId="944"/>
    <cellStyle name="20% - Accent5 2 4" xfId="945"/>
    <cellStyle name="20% - Accent5 2 4 2" xfId="946"/>
    <cellStyle name="20% - Accent5 2 4 3" xfId="947"/>
    <cellStyle name="20% - Accent5 2 5" xfId="948"/>
    <cellStyle name="20% - Accent5 2 6" xfId="949"/>
    <cellStyle name="20% - Accent5 2 7" xfId="950"/>
    <cellStyle name="20% - Accent5 3" xfId="951"/>
    <cellStyle name="20% - Accent5 3 2" xfId="952"/>
    <cellStyle name="20% - Accent5 3 2 2" xfId="953"/>
    <cellStyle name="20% - Accent5 3 2 3" xfId="954"/>
    <cellStyle name="20% - Accent5 3 3" xfId="955"/>
    <cellStyle name="20% - Accent5 3 3 2" xfId="956"/>
    <cellStyle name="20% - Accent5 3 3 3" xfId="957"/>
    <cellStyle name="20% - Accent5 3 4" xfId="958"/>
    <cellStyle name="20% - Accent5 3 4 2" xfId="959"/>
    <cellStyle name="20% - Accent5 3 4 3" xfId="960"/>
    <cellStyle name="20% - Accent5 3 5" xfId="961"/>
    <cellStyle name="20% - Accent5 3 6" xfId="962"/>
    <cellStyle name="20% - Accent5 3 7" xfId="963"/>
    <cellStyle name="20% - Accent5 4" xfId="964"/>
    <cellStyle name="20% - Accent5 4 2" xfId="965"/>
    <cellStyle name="20% - Accent5 4 2 2" xfId="966"/>
    <cellStyle name="20% - Accent5 4 2 3" xfId="967"/>
    <cellStyle name="20% - Accent5 4 3" xfId="968"/>
    <cellStyle name="20% - Accent5 4 3 2" xfId="969"/>
    <cellStyle name="20% - Accent5 4 3 3" xfId="970"/>
    <cellStyle name="20% - Accent5 4 4" xfId="971"/>
    <cellStyle name="20% - Accent5 4 4 2" xfId="972"/>
    <cellStyle name="20% - Accent5 4 4 3" xfId="973"/>
    <cellStyle name="20% - Accent5 4 5" xfId="974"/>
    <cellStyle name="20% - Accent5 4 6" xfId="975"/>
    <cellStyle name="20% - Accent5 4 7" xfId="976"/>
    <cellStyle name="20% - Accent5 5" xfId="977"/>
    <cellStyle name="20% - Accent5 5 2" xfId="978"/>
    <cellStyle name="20% - Accent5 5 2 2" xfId="979"/>
    <cellStyle name="20% - Accent5 5 2 3" xfId="980"/>
    <cellStyle name="20% - Accent5 5 3" xfId="981"/>
    <cellStyle name="20% - Accent5 5 3 2" xfId="982"/>
    <cellStyle name="20% - Accent5 5 3 3" xfId="983"/>
    <cellStyle name="20% - Accent5 5 4" xfId="984"/>
    <cellStyle name="20% - Accent5 5 4 2" xfId="985"/>
    <cellStyle name="20% - Accent5 5 4 3" xfId="986"/>
    <cellStyle name="20% - Accent5 5 5" xfId="987"/>
    <cellStyle name="20% - Accent5 5 6" xfId="988"/>
    <cellStyle name="20% - Accent5 5 7" xfId="989"/>
    <cellStyle name="20% - Accent5 6" xfId="990"/>
    <cellStyle name="20% - Accent5 6 2" xfId="991"/>
    <cellStyle name="20% - Accent5 6 2 2" xfId="992"/>
    <cellStyle name="20% - Accent5 6 2 3" xfId="993"/>
    <cellStyle name="20% - Accent5 6 3" xfId="994"/>
    <cellStyle name="20% - Accent5 6 3 2" xfId="995"/>
    <cellStyle name="20% - Accent5 6 3 3" xfId="996"/>
    <cellStyle name="20% - Accent5 6 4" xfId="997"/>
    <cellStyle name="20% - Accent5 6 4 2" xfId="998"/>
    <cellStyle name="20% - Accent5 6 4 3" xfId="999"/>
    <cellStyle name="20% - Accent5 6 5" xfId="1000"/>
    <cellStyle name="20% - Accent5 6 6" xfId="1001"/>
    <cellStyle name="20% - Accent5 6 7" xfId="1002"/>
    <cellStyle name="20% - Accent5 7" xfId="1003"/>
    <cellStyle name="20% - Accent5 7 2" xfId="1004"/>
    <cellStyle name="20% - Accent5 7 2 2" xfId="1005"/>
    <cellStyle name="20% - Accent5 7 2 3" xfId="1006"/>
    <cellStyle name="20% - Accent5 7 3" xfId="1007"/>
    <cellStyle name="20% - Accent5 7 3 2" xfId="1008"/>
    <cellStyle name="20% - Accent5 7 3 3" xfId="1009"/>
    <cellStyle name="20% - Accent5 7 4" xfId="1010"/>
    <cellStyle name="20% - Accent5 7 4 2" xfId="1011"/>
    <cellStyle name="20% - Accent5 7 4 3" xfId="1012"/>
    <cellStyle name="20% - Accent5 7 5" xfId="1013"/>
    <cellStyle name="20% - Accent5 7 6" xfId="1014"/>
    <cellStyle name="20% - Accent5 7 7" xfId="1015"/>
    <cellStyle name="20% - Accent5 8" xfId="1016"/>
    <cellStyle name="20% - Accent5 8 2" xfId="1017"/>
    <cellStyle name="20% - Accent5 8 2 2" xfId="1018"/>
    <cellStyle name="20% - Accent5 8 2 3" xfId="1019"/>
    <cellStyle name="20% - Accent5 8 3" xfId="1020"/>
    <cellStyle name="20% - Accent5 8 3 2" xfId="1021"/>
    <cellStyle name="20% - Accent5 8 3 3" xfId="1022"/>
    <cellStyle name="20% - Accent5 8 4" xfId="1023"/>
    <cellStyle name="20% - Accent5 8 4 2" xfId="1024"/>
    <cellStyle name="20% - Accent5 8 4 3" xfId="1025"/>
    <cellStyle name="20% - Accent5 8 5" xfId="1026"/>
    <cellStyle name="20% - Accent5 8 6" xfId="1027"/>
    <cellStyle name="20% - Accent5 8 7" xfId="1028"/>
    <cellStyle name="20% - Accent5 9" xfId="1029"/>
    <cellStyle name="20% - Accent5 9 2" xfId="1030"/>
    <cellStyle name="20% - Accent5 9 2 2" xfId="1031"/>
    <cellStyle name="20% - Accent5 9 2 3" xfId="1032"/>
    <cellStyle name="20% - Accent5 9 3" xfId="1033"/>
    <cellStyle name="20% - Accent5 9 3 2" xfId="1034"/>
    <cellStyle name="20% - Accent5 9 3 3" xfId="1035"/>
    <cellStyle name="20% - Accent5 9 4" xfId="1036"/>
    <cellStyle name="20% - Accent5 9 4 2" xfId="1037"/>
    <cellStyle name="20% - Accent5 9 4 3" xfId="1038"/>
    <cellStyle name="20% - Accent5 9 5" xfId="1039"/>
    <cellStyle name="20% - Accent5 9 6" xfId="1040"/>
    <cellStyle name="20% - Accent5 9 7" xfId="1041"/>
    <cellStyle name="20% - Accent6" xfId="3203" builtinId="50" customBuiltin="1"/>
    <cellStyle name="20% - Accent6 10" xfId="1042"/>
    <cellStyle name="20% - Accent6 10 2" xfId="1043"/>
    <cellStyle name="20% - Accent6 10 2 2" xfId="1044"/>
    <cellStyle name="20% - Accent6 10 2 3" xfId="1045"/>
    <cellStyle name="20% - Accent6 10 3" xfId="1046"/>
    <cellStyle name="20% - Accent6 10 3 2" xfId="1047"/>
    <cellStyle name="20% - Accent6 10 3 3" xfId="1048"/>
    <cellStyle name="20% - Accent6 10 4" xfId="1049"/>
    <cellStyle name="20% - Accent6 10 4 2" xfId="1050"/>
    <cellStyle name="20% - Accent6 10 4 3" xfId="1051"/>
    <cellStyle name="20% - Accent6 10 5" xfId="1052"/>
    <cellStyle name="20% - Accent6 10 6" xfId="1053"/>
    <cellStyle name="20% - Accent6 10 7" xfId="1054"/>
    <cellStyle name="20% - Accent6 11" xfId="1055"/>
    <cellStyle name="20% - Accent6 11 2" xfId="1056"/>
    <cellStyle name="20% - Accent6 11 2 2" xfId="1057"/>
    <cellStyle name="20% - Accent6 11 2 3" xfId="1058"/>
    <cellStyle name="20% - Accent6 11 3" xfId="1059"/>
    <cellStyle name="20% - Accent6 11 3 2" xfId="1060"/>
    <cellStyle name="20% - Accent6 11 3 3" xfId="1061"/>
    <cellStyle name="20% - Accent6 11 4" xfId="1062"/>
    <cellStyle name="20% - Accent6 11 4 2" xfId="1063"/>
    <cellStyle name="20% - Accent6 11 4 3" xfId="1064"/>
    <cellStyle name="20% - Accent6 11 5" xfId="1065"/>
    <cellStyle name="20% - Accent6 11 6" xfId="1066"/>
    <cellStyle name="20% - Accent6 11 7" xfId="1067"/>
    <cellStyle name="20% - Accent6 12" xfId="1068"/>
    <cellStyle name="20% - Accent6 12 2" xfId="1069"/>
    <cellStyle name="20% - Accent6 12 2 2" xfId="1070"/>
    <cellStyle name="20% - Accent6 12 2 3" xfId="1071"/>
    <cellStyle name="20% - Accent6 12 3" xfId="1072"/>
    <cellStyle name="20% - Accent6 12 3 2" xfId="1073"/>
    <cellStyle name="20% - Accent6 12 3 3" xfId="1074"/>
    <cellStyle name="20% - Accent6 12 4" xfId="1075"/>
    <cellStyle name="20% - Accent6 12 4 2" xfId="1076"/>
    <cellStyle name="20% - Accent6 12 4 3" xfId="1077"/>
    <cellStyle name="20% - Accent6 12 5" xfId="1078"/>
    <cellStyle name="20% - Accent6 12 6" xfId="1079"/>
    <cellStyle name="20% - Accent6 12 7" xfId="1080"/>
    <cellStyle name="20% - Accent6 13" xfId="1081"/>
    <cellStyle name="20% - Accent6 13 2" xfId="1082"/>
    <cellStyle name="20% - Accent6 13 2 2" xfId="1083"/>
    <cellStyle name="20% - Accent6 13 2 3" xfId="1084"/>
    <cellStyle name="20% - Accent6 13 3" xfId="1085"/>
    <cellStyle name="20% - Accent6 13 3 2" xfId="1086"/>
    <cellStyle name="20% - Accent6 13 3 3" xfId="1087"/>
    <cellStyle name="20% - Accent6 13 4" xfId="1088"/>
    <cellStyle name="20% - Accent6 13 4 2" xfId="1089"/>
    <cellStyle name="20% - Accent6 13 4 3" xfId="1090"/>
    <cellStyle name="20% - Accent6 13 5" xfId="1091"/>
    <cellStyle name="20% - Accent6 13 6" xfId="1092"/>
    <cellStyle name="20% - Accent6 13 7" xfId="1093"/>
    <cellStyle name="20% - Accent6 14" xfId="1094"/>
    <cellStyle name="20% - Accent6 14 2" xfId="1095"/>
    <cellStyle name="20% - Accent6 14 2 2" xfId="1096"/>
    <cellStyle name="20% - Accent6 14 2 3" xfId="1097"/>
    <cellStyle name="20% - Accent6 14 3" xfId="1098"/>
    <cellStyle name="20% - Accent6 14 3 2" xfId="1099"/>
    <cellStyle name="20% - Accent6 14 3 3" xfId="1100"/>
    <cellStyle name="20% - Accent6 14 4" xfId="1101"/>
    <cellStyle name="20% - Accent6 14 4 2" xfId="1102"/>
    <cellStyle name="20% - Accent6 14 4 3" xfId="1103"/>
    <cellStyle name="20% - Accent6 14 5" xfId="1104"/>
    <cellStyle name="20% - Accent6 14 6" xfId="1105"/>
    <cellStyle name="20% - Accent6 14 7" xfId="1106"/>
    <cellStyle name="20% - Accent6 15" xfId="1107"/>
    <cellStyle name="20% - Accent6 15 2" xfId="1108"/>
    <cellStyle name="20% - Accent6 15 2 2" xfId="1109"/>
    <cellStyle name="20% - Accent6 15 2 3" xfId="1110"/>
    <cellStyle name="20% - Accent6 15 3" xfId="1111"/>
    <cellStyle name="20% - Accent6 15 3 2" xfId="1112"/>
    <cellStyle name="20% - Accent6 15 3 3" xfId="1113"/>
    <cellStyle name="20% - Accent6 15 4" xfId="1114"/>
    <cellStyle name="20% - Accent6 15 4 2" xfId="1115"/>
    <cellStyle name="20% - Accent6 15 4 3" xfId="1116"/>
    <cellStyle name="20% - Accent6 15 5" xfId="1117"/>
    <cellStyle name="20% - Accent6 15 6" xfId="1118"/>
    <cellStyle name="20% - Accent6 15 7" xfId="1119"/>
    <cellStyle name="20% - Accent6 16" xfId="1120"/>
    <cellStyle name="20% - Accent6 16 2" xfId="1121"/>
    <cellStyle name="20% - Accent6 16 2 2" xfId="1122"/>
    <cellStyle name="20% - Accent6 16 2 3" xfId="1123"/>
    <cellStyle name="20% - Accent6 16 3" xfId="1124"/>
    <cellStyle name="20% - Accent6 16 3 2" xfId="1125"/>
    <cellStyle name="20% - Accent6 16 3 3" xfId="1126"/>
    <cellStyle name="20% - Accent6 16 4" xfId="1127"/>
    <cellStyle name="20% - Accent6 16 4 2" xfId="1128"/>
    <cellStyle name="20% - Accent6 16 4 3" xfId="1129"/>
    <cellStyle name="20% - Accent6 16 5" xfId="1130"/>
    <cellStyle name="20% - Accent6 16 6" xfId="1131"/>
    <cellStyle name="20% - Accent6 16 7" xfId="1132"/>
    <cellStyle name="20% - Accent6 17" xfId="1133"/>
    <cellStyle name="20% - Accent6 17 2" xfId="1134"/>
    <cellStyle name="20% - Accent6 17 2 2" xfId="1135"/>
    <cellStyle name="20% - Accent6 17 2 3" xfId="1136"/>
    <cellStyle name="20% - Accent6 17 3" xfId="1137"/>
    <cellStyle name="20% - Accent6 17 3 2" xfId="1138"/>
    <cellStyle name="20% - Accent6 17 3 3" xfId="1139"/>
    <cellStyle name="20% - Accent6 17 4" xfId="1140"/>
    <cellStyle name="20% - Accent6 17 4 2" xfId="1141"/>
    <cellStyle name="20% - Accent6 17 4 3" xfId="1142"/>
    <cellStyle name="20% - Accent6 17 5" xfId="1143"/>
    <cellStyle name="20% - Accent6 17 6" xfId="1144"/>
    <cellStyle name="20% - Accent6 17 7" xfId="1145"/>
    <cellStyle name="20% - Accent6 2" xfId="1146"/>
    <cellStyle name="20% - Accent6 2 2" xfId="1147"/>
    <cellStyle name="20% - Accent6 2 2 2" xfId="1148"/>
    <cellStyle name="20% - Accent6 2 2 3" xfId="1149"/>
    <cellStyle name="20% - Accent6 2 3" xfId="1150"/>
    <cellStyle name="20% - Accent6 2 3 2" xfId="1151"/>
    <cellStyle name="20% - Accent6 2 3 3" xfId="1152"/>
    <cellStyle name="20% - Accent6 2 4" xfId="1153"/>
    <cellStyle name="20% - Accent6 2 4 2" xfId="1154"/>
    <cellStyle name="20% - Accent6 2 4 3" xfId="1155"/>
    <cellStyle name="20% - Accent6 2 5" xfId="1156"/>
    <cellStyle name="20% - Accent6 2 6" xfId="1157"/>
    <cellStyle name="20% - Accent6 2 7" xfId="1158"/>
    <cellStyle name="20% - Accent6 3" xfId="1159"/>
    <cellStyle name="20% - Accent6 3 2" xfId="1160"/>
    <cellStyle name="20% - Accent6 3 2 2" xfId="1161"/>
    <cellStyle name="20% - Accent6 3 2 3" xfId="1162"/>
    <cellStyle name="20% - Accent6 3 3" xfId="1163"/>
    <cellStyle name="20% - Accent6 3 3 2" xfId="1164"/>
    <cellStyle name="20% - Accent6 3 3 3" xfId="1165"/>
    <cellStyle name="20% - Accent6 3 4" xfId="1166"/>
    <cellStyle name="20% - Accent6 3 4 2" xfId="1167"/>
    <cellStyle name="20% - Accent6 3 4 3" xfId="1168"/>
    <cellStyle name="20% - Accent6 3 5" xfId="1169"/>
    <cellStyle name="20% - Accent6 3 6" xfId="1170"/>
    <cellStyle name="20% - Accent6 3 7" xfId="1171"/>
    <cellStyle name="20% - Accent6 4" xfId="1172"/>
    <cellStyle name="20% - Accent6 4 2" xfId="1173"/>
    <cellStyle name="20% - Accent6 4 2 2" xfId="1174"/>
    <cellStyle name="20% - Accent6 4 2 3" xfId="1175"/>
    <cellStyle name="20% - Accent6 4 3" xfId="1176"/>
    <cellStyle name="20% - Accent6 4 3 2" xfId="1177"/>
    <cellStyle name="20% - Accent6 4 3 3" xfId="1178"/>
    <cellStyle name="20% - Accent6 4 4" xfId="1179"/>
    <cellStyle name="20% - Accent6 4 4 2" xfId="1180"/>
    <cellStyle name="20% - Accent6 4 4 3" xfId="1181"/>
    <cellStyle name="20% - Accent6 4 5" xfId="1182"/>
    <cellStyle name="20% - Accent6 4 6" xfId="1183"/>
    <cellStyle name="20% - Accent6 4 7" xfId="1184"/>
    <cellStyle name="20% - Accent6 5" xfId="1185"/>
    <cellStyle name="20% - Accent6 5 2" xfId="1186"/>
    <cellStyle name="20% - Accent6 5 2 2" xfId="1187"/>
    <cellStyle name="20% - Accent6 5 2 3" xfId="1188"/>
    <cellStyle name="20% - Accent6 5 3" xfId="1189"/>
    <cellStyle name="20% - Accent6 5 3 2" xfId="1190"/>
    <cellStyle name="20% - Accent6 5 3 3" xfId="1191"/>
    <cellStyle name="20% - Accent6 5 4" xfId="1192"/>
    <cellStyle name="20% - Accent6 5 4 2" xfId="1193"/>
    <cellStyle name="20% - Accent6 5 4 3" xfId="1194"/>
    <cellStyle name="20% - Accent6 5 5" xfId="1195"/>
    <cellStyle name="20% - Accent6 5 6" xfId="1196"/>
    <cellStyle name="20% - Accent6 5 7" xfId="1197"/>
    <cellStyle name="20% - Accent6 6" xfId="1198"/>
    <cellStyle name="20% - Accent6 6 2" xfId="1199"/>
    <cellStyle name="20% - Accent6 6 2 2" xfId="1200"/>
    <cellStyle name="20% - Accent6 6 2 3" xfId="1201"/>
    <cellStyle name="20% - Accent6 6 3" xfId="1202"/>
    <cellStyle name="20% - Accent6 6 3 2" xfId="1203"/>
    <cellStyle name="20% - Accent6 6 3 3" xfId="1204"/>
    <cellStyle name="20% - Accent6 6 4" xfId="1205"/>
    <cellStyle name="20% - Accent6 6 4 2" xfId="1206"/>
    <cellStyle name="20% - Accent6 6 4 3" xfId="1207"/>
    <cellStyle name="20% - Accent6 6 5" xfId="1208"/>
    <cellStyle name="20% - Accent6 6 6" xfId="1209"/>
    <cellStyle name="20% - Accent6 6 7" xfId="1210"/>
    <cellStyle name="20% - Accent6 7" xfId="1211"/>
    <cellStyle name="20% - Accent6 7 2" xfId="1212"/>
    <cellStyle name="20% - Accent6 7 2 2" xfId="1213"/>
    <cellStyle name="20% - Accent6 7 2 3" xfId="1214"/>
    <cellStyle name="20% - Accent6 7 3" xfId="1215"/>
    <cellStyle name="20% - Accent6 7 3 2" xfId="1216"/>
    <cellStyle name="20% - Accent6 7 3 3" xfId="1217"/>
    <cellStyle name="20% - Accent6 7 4" xfId="1218"/>
    <cellStyle name="20% - Accent6 7 4 2" xfId="1219"/>
    <cellStyle name="20% - Accent6 7 4 3" xfId="1220"/>
    <cellStyle name="20% - Accent6 7 5" xfId="1221"/>
    <cellStyle name="20% - Accent6 7 6" xfId="1222"/>
    <cellStyle name="20% - Accent6 7 7" xfId="1223"/>
    <cellStyle name="20% - Accent6 8" xfId="1224"/>
    <cellStyle name="20% - Accent6 8 2" xfId="1225"/>
    <cellStyle name="20% - Accent6 8 2 2" xfId="1226"/>
    <cellStyle name="20% - Accent6 8 2 3" xfId="1227"/>
    <cellStyle name="20% - Accent6 8 3" xfId="1228"/>
    <cellStyle name="20% - Accent6 8 3 2" xfId="1229"/>
    <cellStyle name="20% - Accent6 8 3 3" xfId="1230"/>
    <cellStyle name="20% - Accent6 8 4" xfId="1231"/>
    <cellStyle name="20% - Accent6 8 4 2" xfId="1232"/>
    <cellStyle name="20% - Accent6 8 4 3" xfId="1233"/>
    <cellStyle name="20% - Accent6 8 5" xfId="1234"/>
    <cellStyle name="20% - Accent6 8 6" xfId="1235"/>
    <cellStyle name="20% - Accent6 8 7" xfId="1236"/>
    <cellStyle name="20% - Accent6 9" xfId="1237"/>
    <cellStyle name="20% - Accent6 9 2" xfId="1238"/>
    <cellStyle name="20% - Accent6 9 2 2" xfId="1239"/>
    <cellStyle name="20% - Accent6 9 2 3" xfId="1240"/>
    <cellStyle name="20% - Accent6 9 3" xfId="1241"/>
    <cellStyle name="20% - Accent6 9 3 2" xfId="1242"/>
    <cellStyle name="20% - Accent6 9 3 3" xfId="1243"/>
    <cellStyle name="20% - Accent6 9 4" xfId="1244"/>
    <cellStyle name="20% - Accent6 9 4 2" xfId="1245"/>
    <cellStyle name="20% - Accent6 9 4 3" xfId="1246"/>
    <cellStyle name="20% - Accent6 9 5" xfId="1247"/>
    <cellStyle name="20% - Accent6 9 6" xfId="1248"/>
    <cellStyle name="20% - Accent6 9 7" xfId="1249"/>
    <cellStyle name="40% - Accent1" xfId="3184" builtinId="31" customBuiltin="1"/>
    <cellStyle name="40% - Accent1 10" xfId="1250"/>
    <cellStyle name="40% - Accent1 10 2" xfId="1251"/>
    <cellStyle name="40% - Accent1 10 2 2" xfId="1252"/>
    <cellStyle name="40% - Accent1 10 2 3" xfId="1253"/>
    <cellStyle name="40% - Accent1 10 3" xfId="1254"/>
    <cellStyle name="40% - Accent1 10 3 2" xfId="1255"/>
    <cellStyle name="40% - Accent1 10 3 3" xfId="1256"/>
    <cellStyle name="40% - Accent1 10 4" xfId="1257"/>
    <cellStyle name="40% - Accent1 10 4 2" xfId="1258"/>
    <cellStyle name="40% - Accent1 10 4 3" xfId="1259"/>
    <cellStyle name="40% - Accent1 10 5" xfId="1260"/>
    <cellStyle name="40% - Accent1 10 6" xfId="1261"/>
    <cellStyle name="40% - Accent1 10 7" xfId="1262"/>
    <cellStyle name="40% - Accent1 11" xfId="1263"/>
    <cellStyle name="40% - Accent1 11 2" xfId="1264"/>
    <cellStyle name="40% - Accent1 11 2 2" xfId="1265"/>
    <cellStyle name="40% - Accent1 11 2 3" xfId="1266"/>
    <cellStyle name="40% - Accent1 11 3" xfId="1267"/>
    <cellStyle name="40% - Accent1 11 3 2" xfId="1268"/>
    <cellStyle name="40% - Accent1 11 3 3" xfId="1269"/>
    <cellStyle name="40% - Accent1 11 4" xfId="1270"/>
    <cellStyle name="40% - Accent1 11 4 2" xfId="1271"/>
    <cellStyle name="40% - Accent1 11 4 3" xfId="1272"/>
    <cellStyle name="40% - Accent1 11 5" xfId="1273"/>
    <cellStyle name="40% - Accent1 11 6" xfId="1274"/>
    <cellStyle name="40% - Accent1 11 7" xfId="1275"/>
    <cellStyle name="40% - Accent1 12" xfId="1276"/>
    <cellStyle name="40% - Accent1 12 2" xfId="1277"/>
    <cellStyle name="40% - Accent1 12 2 2" xfId="1278"/>
    <cellStyle name="40% - Accent1 12 2 3" xfId="1279"/>
    <cellStyle name="40% - Accent1 12 3" xfId="1280"/>
    <cellStyle name="40% - Accent1 12 3 2" xfId="1281"/>
    <cellStyle name="40% - Accent1 12 3 3" xfId="1282"/>
    <cellStyle name="40% - Accent1 12 4" xfId="1283"/>
    <cellStyle name="40% - Accent1 12 4 2" xfId="1284"/>
    <cellStyle name="40% - Accent1 12 4 3" xfId="1285"/>
    <cellStyle name="40% - Accent1 12 5" xfId="1286"/>
    <cellStyle name="40% - Accent1 12 6" xfId="1287"/>
    <cellStyle name="40% - Accent1 12 7" xfId="1288"/>
    <cellStyle name="40% - Accent1 13" xfId="1289"/>
    <cellStyle name="40% - Accent1 13 2" xfId="1290"/>
    <cellStyle name="40% - Accent1 13 2 2" xfId="1291"/>
    <cellStyle name="40% - Accent1 13 2 3" xfId="1292"/>
    <cellStyle name="40% - Accent1 13 3" xfId="1293"/>
    <cellStyle name="40% - Accent1 13 3 2" xfId="1294"/>
    <cellStyle name="40% - Accent1 13 3 3" xfId="1295"/>
    <cellStyle name="40% - Accent1 13 4" xfId="1296"/>
    <cellStyle name="40% - Accent1 13 4 2" xfId="1297"/>
    <cellStyle name="40% - Accent1 13 4 3" xfId="1298"/>
    <cellStyle name="40% - Accent1 13 5" xfId="1299"/>
    <cellStyle name="40% - Accent1 13 6" xfId="1300"/>
    <cellStyle name="40% - Accent1 13 7" xfId="1301"/>
    <cellStyle name="40% - Accent1 14" xfId="1302"/>
    <cellStyle name="40% - Accent1 14 2" xfId="1303"/>
    <cellStyle name="40% - Accent1 14 2 2" xfId="1304"/>
    <cellStyle name="40% - Accent1 14 2 3" xfId="1305"/>
    <cellStyle name="40% - Accent1 14 3" xfId="1306"/>
    <cellStyle name="40% - Accent1 14 3 2" xfId="1307"/>
    <cellStyle name="40% - Accent1 14 3 3" xfId="1308"/>
    <cellStyle name="40% - Accent1 14 4" xfId="1309"/>
    <cellStyle name="40% - Accent1 14 4 2" xfId="1310"/>
    <cellStyle name="40% - Accent1 14 4 3" xfId="1311"/>
    <cellStyle name="40% - Accent1 14 5" xfId="1312"/>
    <cellStyle name="40% - Accent1 14 6" xfId="1313"/>
    <cellStyle name="40% - Accent1 14 7" xfId="1314"/>
    <cellStyle name="40% - Accent1 15" xfId="1315"/>
    <cellStyle name="40% - Accent1 15 2" xfId="1316"/>
    <cellStyle name="40% - Accent1 15 2 2" xfId="1317"/>
    <cellStyle name="40% - Accent1 15 2 3" xfId="1318"/>
    <cellStyle name="40% - Accent1 15 3" xfId="1319"/>
    <cellStyle name="40% - Accent1 15 3 2" xfId="1320"/>
    <cellStyle name="40% - Accent1 15 3 3" xfId="1321"/>
    <cellStyle name="40% - Accent1 15 4" xfId="1322"/>
    <cellStyle name="40% - Accent1 15 4 2" xfId="1323"/>
    <cellStyle name="40% - Accent1 15 4 3" xfId="1324"/>
    <cellStyle name="40% - Accent1 15 5" xfId="1325"/>
    <cellStyle name="40% - Accent1 15 6" xfId="1326"/>
    <cellStyle name="40% - Accent1 15 7" xfId="1327"/>
    <cellStyle name="40% - Accent1 16" xfId="1328"/>
    <cellStyle name="40% - Accent1 16 2" xfId="1329"/>
    <cellStyle name="40% - Accent1 16 2 2" xfId="1330"/>
    <cellStyle name="40% - Accent1 16 2 3" xfId="1331"/>
    <cellStyle name="40% - Accent1 16 3" xfId="1332"/>
    <cellStyle name="40% - Accent1 16 3 2" xfId="1333"/>
    <cellStyle name="40% - Accent1 16 3 3" xfId="1334"/>
    <cellStyle name="40% - Accent1 16 4" xfId="1335"/>
    <cellStyle name="40% - Accent1 16 4 2" xfId="1336"/>
    <cellStyle name="40% - Accent1 16 4 3" xfId="1337"/>
    <cellStyle name="40% - Accent1 16 5" xfId="1338"/>
    <cellStyle name="40% - Accent1 16 6" xfId="1339"/>
    <cellStyle name="40% - Accent1 16 7" xfId="1340"/>
    <cellStyle name="40% - Accent1 17" xfId="1341"/>
    <cellStyle name="40% - Accent1 17 2" xfId="1342"/>
    <cellStyle name="40% - Accent1 17 2 2" xfId="1343"/>
    <cellStyle name="40% - Accent1 17 2 3" xfId="1344"/>
    <cellStyle name="40% - Accent1 17 3" xfId="1345"/>
    <cellStyle name="40% - Accent1 17 3 2" xfId="1346"/>
    <cellStyle name="40% - Accent1 17 3 3" xfId="1347"/>
    <cellStyle name="40% - Accent1 17 4" xfId="1348"/>
    <cellStyle name="40% - Accent1 17 4 2" xfId="1349"/>
    <cellStyle name="40% - Accent1 17 4 3" xfId="1350"/>
    <cellStyle name="40% - Accent1 17 5" xfId="1351"/>
    <cellStyle name="40% - Accent1 17 6" xfId="1352"/>
    <cellStyle name="40% - Accent1 17 7" xfId="1353"/>
    <cellStyle name="40% - Accent1 2" xfId="1354"/>
    <cellStyle name="40% - Accent1 2 2" xfId="1355"/>
    <cellStyle name="40% - Accent1 2 2 2" xfId="1356"/>
    <cellStyle name="40% - Accent1 2 2 3" xfId="1357"/>
    <cellStyle name="40% - Accent1 2 3" xfId="1358"/>
    <cellStyle name="40% - Accent1 2 3 2" xfId="1359"/>
    <cellStyle name="40% - Accent1 2 3 3" xfId="1360"/>
    <cellStyle name="40% - Accent1 2 4" xfId="1361"/>
    <cellStyle name="40% - Accent1 2 4 2" xfId="1362"/>
    <cellStyle name="40% - Accent1 2 4 3" xfId="1363"/>
    <cellStyle name="40% - Accent1 2 5" xfId="1364"/>
    <cellStyle name="40% - Accent1 2 6" xfId="1365"/>
    <cellStyle name="40% - Accent1 2 7" xfId="1366"/>
    <cellStyle name="40% - Accent1 3" xfId="1367"/>
    <cellStyle name="40% - Accent1 3 2" xfId="1368"/>
    <cellStyle name="40% - Accent1 3 2 2" xfId="1369"/>
    <cellStyle name="40% - Accent1 3 2 3" xfId="1370"/>
    <cellStyle name="40% - Accent1 3 3" xfId="1371"/>
    <cellStyle name="40% - Accent1 3 3 2" xfId="1372"/>
    <cellStyle name="40% - Accent1 3 3 3" xfId="1373"/>
    <cellStyle name="40% - Accent1 3 4" xfId="1374"/>
    <cellStyle name="40% - Accent1 3 4 2" xfId="1375"/>
    <cellStyle name="40% - Accent1 3 4 3" xfId="1376"/>
    <cellStyle name="40% - Accent1 3 5" xfId="1377"/>
    <cellStyle name="40% - Accent1 3 6" xfId="1378"/>
    <cellStyle name="40% - Accent1 3 7" xfId="1379"/>
    <cellStyle name="40% - Accent1 4" xfId="1380"/>
    <cellStyle name="40% - Accent1 4 2" xfId="1381"/>
    <cellStyle name="40% - Accent1 4 2 2" xfId="1382"/>
    <cellStyle name="40% - Accent1 4 2 3" xfId="1383"/>
    <cellStyle name="40% - Accent1 4 3" xfId="1384"/>
    <cellStyle name="40% - Accent1 4 3 2" xfId="1385"/>
    <cellStyle name="40% - Accent1 4 3 3" xfId="1386"/>
    <cellStyle name="40% - Accent1 4 4" xfId="1387"/>
    <cellStyle name="40% - Accent1 4 4 2" xfId="1388"/>
    <cellStyle name="40% - Accent1 4 4 3" xfId="1389"/>
    <cellStyle name="40% - Accent1 4 5" xfId="1390"/>
    <cellStyle name="40% - Accent1 4 6" xfId="1391"/>
    <cellStyle name="40% - Accent1 4 7" xfId="1392"/>
    <cellStyle name="40% - Accent1 5" xfId="1393"/>
    <cellStyle name="40% - Accent1 5 2" xfId="1394"/>
    <cellStyle name="40% - Accent1 5 2 2" xfId="1395"/>
    <cellStyle name="40% - Accent1 5 2 3" xfId="1396"/>
    <cellStyle name="40% - Accent1 5 3" xfId="1397"/>
    <cellStyle name="40% - Accent1 5 3 2" xfId="1398"/>
    <cellStyle name="40% - Accent1 5 3 3" xfId="1399"/>
    <cellStyle name="40% - Accent1 5 4" xfId="1400"/>
    <cellStyle name="40% - Accent1 5 4 2" xfId="1401"/>
    <cellStyle name="40% - Accent1 5 4 3" xfId="1402"/>
    <cellStyle name="40% - Accent1 5 5" xfId="1403"/>
    <cellStyle name="40% - Accent1 5 6" xfId="1404"/>
    <cellStyle name="40% - Accent1 5 7" xfId="1405"/>
    <cellStyle name="40% - Accent1 6" xfId="1406"/>
    <cellStyle name="40% - Accent1 6 2" xfId="1407"/>
    <cellStyle name="40% - Accent1 6 2 2" xfId="1408"/>
    <cellStyle name="40% - Accent1 6 2 3" xfId="1409"/>
    <cellStyle name="40% - Accent1 6 3" xfId="1410"/>
    <cellStyle name="40% - Accent1 6 3 2" xfId="1411"/>
    <cellStyle name="40% - Accent1 6 3 3" xfId="1412"/>
    <cellStyle name="40% - Accent1 6 4" xfId="1413"/>
    <cellStyle name="40% - Accent1 6 4 2" xfId="1414"/>
    <cellStyle name="40% - Accent1 6 4 3" xfId="1415"/>
    <cellStyle name="40% - Accent1 6 5" xfId="1416"/>
    <cellStyle name="40% - Accent1 6 6" xfId="1417"/>
    <cellStyle name="40% - Accent1 6 7" xfId="1418"/>
    <cellStyle name="40% - Accent1 7" xfId="1419"/>
    <cellStyle name="40% - Accent1 7 2" xfId="1420"/>
    <cellStyle name="40% - Accent1 7 2 2" xfId="1421"/>
    <cellStyle name="40% - Accent1 7 2 3" xfId="1422"/>
    <cellStyle name="40% - Accent1 7 3" xfId="1423"/>
    <cellStyle name="40% - Accent1 7 3 2" xfId="1424"/>
    <cellStyle name="40% - Accent1 7 3 3" xfId="1425"/>
    <cellStyle name="40% - Accent1 7 4" xfId="1426"/>
    <cellStyle name="40% - Accent1 7 4 2" xfId="1427"/>
    <cellStyle name="40% - Accent1 7 4 3" xfId="1428"/>
    <cellStyle name="40% - Accent1 7 5" xfId="1429"/>
    <cellStyle name="40% - Accent1 7 6" xfId="1430"/>
    <cellStyle name="40% - Accent1 7 7" xfId="1431"/>
    <cellStyle name="40% - Accent1 8" xfId="1432"/>
    <cellStyle name="40% - Accent1 8 2" xfId="1433"/>
    <cellStyle name="40% - Accent1 8 2 2" xfId="1434"/>
    <cellStyle name="40% - Accent1 8 2 3" xfId="1435"/>
    <cellStyle name="40% - Accent1 8 3" xfId="1436"/>
    <cellStyle name="40% - Accent1 8 3 2" xfId="1437"/>
    <cellStyle name="40% - Accent1 8 3 3" xfId="1438"/>
    <cellStyle name="40% - Accent1 8 4" xfId="1439"/>
    <cellStyle name="40% - Accent1 8 4 2" xfId="1440"/>
    <cellStyle name="40% - Accent1 8 4 3" xfId="1441"/>
    <cellStyle name="40% - Accent1 8 5" xfId="1442"/>
    <cellStyle name="40% - Accent1 8 6" xfId="1443"/>
    <cellStyle name="40% - Accent1 8 7" xfId="1444"/>
    <cellStyle name="40% - Accent1 9" xfId="1445"/>
    <cellStyle name="40% - Accent1 9 2" xfId="1446"/>
    <cellStyle name="40% - Accent1 9 2 2" xfId="1447"/>
    <cellStyle name="40% - Accent1 9 2 3" xfId="1448"/>
    <cellStyle name="40% - Accent1 9 3" xfId="1449"/>
    <cellStyle name="40% - Accent1 9 3 2" xfId="1450"/>
    <cellStyle name="40% - Accent1 9 3 3" xfId="1451"/>
    <cellStyle name="40% - Accent1 9 4" xfId="1452"/>
    <cellStyle name="40% - Accent1 9 4 2" xfId="1453"/>
    <cellStyle name="40% - Accent1 9 4 3" xfId="1454"/>
    <cellStyle name="40% - Accent1 9 5" xfId="1455"/>
    <cellStyle name="40% - Accent1 9 6" xfId="1456"/>
    <cellStyle name="40% - Accent1 9 7" xfId="1457"/>
    <cellStyle name="40% - Accent2" xfId="3188" builtinId="35" customBuiltin="1"/>
    <cellStyle name="40% - Accent2 10" xfId="1458"/>
    <cellStyle name="40% - Accent2 10 2" xfId="1459"/>
    <cellStyle name="40% - Accent2 10 2 2" xfId="1460"/>
    <cellStyle name="40% - Accent2 10 2 3" xfId="1461"/>
    <cellStyle name="40% - Accent2 10 3" xfId="1462"/>
    <cellStyle name="40% - Accent2 10 3 2" xfId="1463"/>
    <cellStyle name="40% - Accent2 10 3 3" xfId="1464"/>
    <cellStyle name="40% - Accent2 10 4" xfId="1465"/>
    <cellStyle name="40% - Accent2 10 4 2" xfId="1466"/>
    <cellStyle name="40% - Accent2 10 4 3" xfId="1467"/>
    <cellStyle name="40% - Accent2 10 5" xfId="1468"/>
    <cellStyle name="40% - Accent2 10 6" xfId="1469"/>
    <cellStyle name="40% - Accent2 10 7" xfId="1470"/>
    <cellStyle name="40% - Accent2 11" xfId="1471"/>
    <cellStyle name="40% - Accent2 11 2" xfId="1472"/>
    <cellStyle name="40% - Accent2 11 2 2" xfId="1473"/>
    <cellStyle name="40% - Accent2 11 2 3" xfId="1474"/>
    <cellStyle name="40% - Accent2 11 3" xfId="1475"/>
    <cellStyle name="40% - Accent2 11 3 2" xfId="1476"/>
    <cellStyle name="40% - Accent2 11 3 3" xfId="1477"/>
    <cellStyle name="40% - Accent2 11 4" xfId="1478"/>
    <cellStyle name="40% - Accent2 11 4 2" xfId="1479"/>
    <cellStyle name="40% - Accent2 11 4 3" xfId="1480"/>
    <cellStyle name="40% - Accent2 11 5" xfId="1481"/>
    <cellStyle name="40% - Accent2 11 6" xfId="1482"/>
    <cellStyle name="40% - Accent2 11 7" xfId="1483"/>
    <cellStyle name="40% - Accent2 12" xfId="1484"/>
    <cellStyle name="40% - Accent2 12 2" xfId="1485"/>
    <cellStyle name="40% - Accent2 12 2 2" xfId="1486"/>
    <cellStyle name="40% - Accent2 12 2 3" xfId="1487"/>
    <cellStyle name="40% - Accent2 12 3" xfId="1488"/>
    <cellStyle name="40% - Accent2 12 3 2" xfId="1489"/>
    <cellStyle name="40% - Accent2 12 3 3" xfId="1490"/>
    <cellStyle name="40% - Accent2 12 4" xfId="1491"/>
    <cellStyle name="40% - Accent2 12 4 2" xfId="1492"/>
    <cellStyle name="40% - Accent2 12 4 3" xfId="1493"/>
    <cellStyle name="40% - Accent2 12 5" xfId="1494"/>
    <cellStyle name="40% - Accent2 12 6" xfId="1495"/>
    <cellStyle name="40% - Accent2 12 7" xfId="1496"/>
    <cellStyle name="40% - Accent2 13" xfId="1497"/>
    <cellStyle name="40% - Accent2 13 2" xfId="1498"/>
    <cellStyle name="40% - Accent2 13 2 2" xfId="1499"/>
    <cellStyle name="40% - Accent2 13 2 3" xfId="1500"/>
    <cellStyle name="40% - Accent2 13 3" xfId="1501"/>
    <cellStyle name="40% - Accent2 13 3 2" xfId="1502"/>
    <cellStyle name="40% - Accent2 13 3 3" xfId="1503"/>
    <cellStyle name="40% - Accent2 13 4" xfId="1504"/>
    <cellStyle name="40% - Accent2 13 4 2" xfId="1505"/>
    <cellStyle name="40% - Accent2 13 4 3" xfId="1506"/>
    <cellStyle name="40% - Accent2 13 5" xfId="1507"/>
    <cellStyle name="40% - Accent2 13 6" xfId="1508"/>
    <cellStyle name="40% - Accent2 13 7" xfId="1509"/>
    <cellStyle name="40% - Accent2 14" xfId="1510"/>
    <cellStyle name="40% - Accent2 14 2" xfId="1511"/>
    <cellStyle name="40% - Accent2 14 2 2" xfId="1512"/>
    <cellStyle name="40% - Accent2 14 2 3" xfId="1513"/>
    <cellStyle name="40% - Accent2 14 3" xfId="1514"/>
    <cellStyle name="40% - Accent2 14 3 2" xfId="1515"/>
    <cellStyle name="40% - Accent2 14 3 3" xfId="1516"/>
    <cellStyle name="40% - Accent2 14 4" xfId="1517"/>
    <cellStyle name="40% - Accent2 14 4 2" xfId="1518"/>
    <cellStyle name="40% - Accent2 14 4 3" xfId="1519"/>
    <cellStyle name="40% - Accent2 14 5" xfId="1520"/>
    <cellStyle name="40% - Accent2 14 6" xfId="1521"/>
    <cellStyle name="40% - Accent2 14 7" xfId="1522"/>
    <cellStyle name="40% - Accent2 15" xfId="1523"/>
    <cellStyle name="40% - Accent2 15 2" xfId="1524"/>
    <cellStyle name="40% - Accent2 15 2 2" xfId="1525"/>
    <cellStyle name="40% - Accent2 15 2 3" xfId="1526"/>
    <cellStyle name="40% - Accent2 15 3" xfId="1527"/>
    <cellStyle name="40% - Accent2 15 3 2" xfId="1528"/>
    <cellStyle name="40% - Accent2 15 3 3" xfId="1529"/>
    <cellStyle name="40% - Accent2 15 4" xfId="1530"/>
    <cellStyle name="40% - Accent2 15 4 2" xfId="1531"/>
    <cellStyle name="40% - Accent2 15 4 3" xfId="1532"/>
    <cellStyle name="40% - Accent2 15 5" xfId="1533"/>
    <cellStyle name="40% - Accent2 15 6" xfId="1534"/>
    <cellStyle name="40% - Accent2 15 7" xfId="1535"/>
    <cellStyle name="40% - Accent2 16" xfId="1536"/>
    <cellStyle name="40% - Accent2 16 2" xfId="1537"/>
    <cellStyle name="40% - Accent2 16 2 2" xfId="1538"/>
    <cellStyle name="40% - Accent2 16 2 3" xfId="1539"/>
    <cellStyle name="40% - Accent2 16 3" xfId="1540"/>
    <cellStyle name="40% - Accent2 16 3 2" xfId="1541"/>
    <cellStyle name="40% - Accent2 16 3 3" xfId="1542"/>
    <cellStyle name="40% - Accent2 16 4" xfId="1543"/>
    <cellStyle name="40% - Accent2 16 4 2" xfId="1544"/>
    <cellStyle name="40% - Accent2 16 4 3" xfId="1545"/>
    <cellStyle name="40% - Accent2 16 5" xfId="1546"/>
    <cellStyle name="40% - Accent2 16 6" xfId="1547"/>
    <cellStyle name="40% - Accent2 16 7" xfId="1548"/>
    <cellStyle name="40% - Accent2 17" xfId="1549"/>
    <cellStyle name="40% - Accent2 17 2" xfId="1550"/>
    <cellStyle name="40% - Accent2 17 2 2" xfId="1551"/>
    <cellStyle name="40% - Accent2 17 2 3" xfId="1552"/>
    <cellStyle name="40% - Accent2 17 3" xfId="1553"/>
    <cellStyle name="40% - Accent2 17 3 2" xfId="1554"/>
    <cellStyle name="40% - Accent2 17 3 3" xfId="1555"/>
    <cellStyle name="40% - Accent2 17 4" xfId="1556"/>
    <cellStyle name="40% - Accent2 17 4 2" xfId="1557"/>
    <cellStyle name="40% - Accent2 17 4 3" xfId="1558"/>
    <cellStyle name="40% - Accent2 17 5" xfId="1559"/>
    <cellStyle name="40% - Accent2 17 6" xfId="1560"/>
    <cellStyle name="40% - Accent2 17 7" xfId="1561"/>
    <cellStyle name="40% - Accent2 2" xfId="1562"/>
    <cellStyle name="40% - Accent2 2 2" xfId="1563"/>
    <cellStyle name="40% - Accent2 2 2 2" xfId="1564"/>
    <cellStyle name="40% - Accent2 2 2 3" xfId="1565"/>
    <cellStyle name="40% - Accent2 2 3" xfId="1566"/>
    <cellStyle name="40% - Accent2 2 3 2" xfId="1567"/>
    <cellStyle name="40% - Accent2 2 3 3" xfId="1568"/>
    <cellStyle name="40% - Accent2 2 4" xfId="1569"/>
    <cellStyle name="40% - Accent2 2 4 2" xfId="1570"/>
    <cellStyle name="40% - Accent2 2 4 3" xfId="1571"/>
    <cellStyle name="40% - Accent2 2 5" xfId="1572"/>
    <cellStyle name="40% - Accent2 2 6" xfId="1573"/>
    <cellStyle name="40% - Accent2 2 7" xfId="1574"/>
    <cellStyle name="40% - Accent2 3" xfId="1575"/>
    <cellStyle name="40% - Accent2 3 2" xfId="1576"/>
    <cellStyle name="40% - Accent2 3 2 2" xfId="1577"/>
    <cellStyle name="40% - Accent2 3 2 3" xfId="1578"/>
    <cellStyle name="40% - Accent2 3 3" xfId="1579"/>
    <cellStyle name="40% - Accent2 3 3 2" xfId="1580"/>
    <cellStyle name="40% - Accent2 3 3 3" xfId="1581"/>
    <cellStyle name="40% - Accent2 3 4" xfId="1582"/>
    <cellStyle name="40% - Accent2 3 4 2" xfId="1583"/>
    <cellStyle name="40% - Accent2 3 4 3" xfId="1584"/>
    <cellStyle name="40% - Accent2 3 5" xfId="1585"/>
    <cellStyle name="40% - Accent2 3 6" xfId="1586"/>
    <cellStyle name="40% - Accent2 3 7" xfId="1587"/>
    <cellStyle name="40% - Accent2 4" xfId="1588"/>
    <cellStyle name="40% - Accent2 4 2" xfId="1589"/>
    <cellStyle name="40% - Accent2 4 2 2" xfId="1590"/>
    <cellStyle name="40% - Accent2 4 2 3" xfId="1591"/>
    <cellStyle name="40% - Accent2 4 3" xfId="1592"/>
    <cellStyle name="40% - Accent2 4 3 2" xfId="1593"/>
    <cellStyle name="40% - Accent2 4 3 3" xfId="1594"/>
    <cellStyle name="40% - Accent2 4 4" xfId="1595"/>
    <cellStyle name="40% - Accent2 4 4 2" xfId="1596"/>
    <cellStyle name="40% - Accent2 4 4 3" xfId="1597"/>
    <cellStyle name="40% - Accent2 4 5" xfId="1598"/>
    <cellStyle name="40% - Accent2 4 6" xfId="1599"/>
    <cellStyle name="40% - Accent2 4 7" xfId="1600"/>
    <cellStyle name="40% - Accent2 5" xfId="1601"/>
    <cellStyle name="40% - Accent2 5 2" xfId="1602"/>
    <cellStyle name="40% - Accent2 5 2 2" xfId="1603"/>
    <cellStyle name="40% - Accent2 5 2 3" xfId="1604"/>
    <cellStyle name="40% - Accent2 5 3" xfId="1605"/>
    <cellStyle name="40% - Accent2 5 3 2" xfId="1606"/>
    <cellStyle name="40% - Accent2 5 3 3" xfId="1607"/>
    <cellStyle name="40% - Accent2 5 4" xfId="1608"/>
    <cellStyle name="40% - Accent2 5 4 2" xfId="1609"/>
    <cellStyle name="40% - Accent2 5 4 3" xfId="1610"/>
    <cellStyle name="40% - Accent2 5 5" xfId="1611"/>
    <cellStyle name="40% - Accent2 5 6" xfId="1612"/>
    <cellStyle name="40% - Accent2 5 7" xfId="1613"/>
    <cellStyle name="40% - Accent2 6" xfId="1614"/>
    <cellStyle name="40% - Accent2 6 2" xfId="1615"/>
    <cellStyle name="40% - Accent2 6 2 2" xfId="1616"/>
    <cellStyle name="40% - Accent2 6 2 3" xfId="1617"/>
    <cellStyle name="40% - Accent2 6 3" xfId="1618"/>
    <cellStyle name="40% - Accent2 6 3 2" xfId="1619"/>
    <cellStyle name="40% - Accent2 6 3 3" xfId="1620"/>
    <cellStyle name="40% - Accent2 6 4" xfId="1621"/>
    <cellStyle name="40% - Accent2 6 4 2" xfId="1622"/>
    <cellStyle name="40% - Accent2 6 4 3" xfId="1623"/>
    <cellStyle name="40% - Accent2 6 5" xfId="1624"/>
    <cellStyle name="40% - Accent2 6 6" xfId="1625"/>
    <cellStyle name="40% - Accent2 6 7" xfId="1626"/>
    <cellStyle name="40% - Accent2 7" xfId="1627"/>
    <cellStyle name="40% - Accent2 7 2" xfId="1628"/>
    <cellStyle name="40% - Accent2 7 2 2" xfId="1629"/>
    <cellStyle name="40% - Accent2 7 2 3" xfId="1630"/>
    <cellStyle name="40% - Accent2 7 3" xfId="1631"/>
    <cellStyle name="40% - Accent2 7 3 2" xfId="1632"/>
    <cellStyle name="40% - Accent2 7 3 3" xfId="1633"/>
    <cellStyle name="40% - Accent2 7 4" xfId="1634"/>
    <cellStyle name="40% - Accent2 7 4 2" xfId="1635"/>
    <cellStyle name="40% - Accent2 7 4 3" xfId="1636"/>
    <cellStyle name="40% - Accent2 7 5" xfId="1637"/>
    <cellStyle name="40% - Accent2 7 6" xfId="1638"/>
    <cellStyle name="40% - Accent2 7 7" xfId="1639"/>
    <cellStyle name="40% - Accent2 8" xfId="1640"/>
    <cellStyle name="40% - Accent2 8 2" xfId="1641"/>
    <cellStyle name="40% - Accent2 8 2 2" xfId="1642"/>
    <cellStyle name="40% - Accent2 8 2 3" xfId="1643"/>
    <cellStyle name="40% - Accent2 8 3" xfId="1644"/>
    <cellStyle name="40% - Accent2 8 3 2" xfId="1645"/>
    <cellStyle name="40% - Accent2 8 3 3" xfId="1646"/>
    <cellStyle name="40% - Accent2 8 4" xfId="1647"/>
    <cellStyle name="40% - Accent2 8 4 2" xfId="1648"/>
    <cellStyle name="40% - Accent2 8 4 3" xfId="1649"/>
    <cellStyle name="40% - Accent2 8 5" xfId="1650"/>
    <cellStyle name="40% - Accent2 8 6" xfId="1651"/>
    <cellStyle name="40% - Accent2 8 7" xfId="1652"/>
    <cellStyle name="40% - Accent2 9" xfId="1653"/>
    <cellStyle name="40% - Accent2 9 2" xfId="1654"/>
    <cellStyle name="40% - Accent2 9 2 2" xfId="1655"/>
    <cellStyle name="40% - Accent2 9 2 3" xfId="1656"/>
    <cellStyle name="40% - Accent2 9 3" xfId="1657"/>
    <cellStyle name="40% - Accent2 9 3 2" xfId="1658"/>
    <cellStyle name="40% - Accent2 9 3 3" xfId="1659"/>
    <cellStyle name="40% - Accent2 9 4" xfId="1660"/>
    <cellStyle name="40% - Accent2 9 4 2" xfId="1661"/>
    <cellStyle name="40% - Accent2 9 4 3" xfId="1662"/>
    <cellStyle name="40% - Accent2 9 5" xfId="1663"/>
    <cellStyle name="40% - Accent2 9 6" xfId="1664"/>
    <cellStyle name="40% - Accent2 9 7" xfId="1665"/>
    <cellStyle name="40% - Accent3" xfId="3192" builtinId="39" customBuiltin="1"/>
    <cellStyle name="40% - Accent3 10" xfId="1666"/>
    <cellStyle name="40% - Accent3 10 2" xfId="1667"/>
    <cellStyle name="40% - Accent3 10 2 2" xfId="1668"/>
    <cellStyle name="40% - Accent3 10 2 3" xfId="1669"/>
    <cellStyle name="40% - Accent3 10 3" xfId="1670"/>
    <cellStyle name="40% - Accent3 10 3 2" xfId="1671"/>
    <cellStyle name="40% - Accent3 10 3 3" xfId="1672"/>
    <cellStyle name="40% - Accent3 10 4" xfId="1673"/>
    <cellStyle name="40% - Accent3 10 4 2" xfId="1674"/>
    <cellStyle name="40% - Accent3 10 4 3" xfId="1675"/>
    <cellStyle name="40% - Accent3 10 5" xfId="1676"/>
    <cellStyle name="40% - Accent3 10 6" xfId="1677"/>
    <cellStyle name="40% - Accent3 10 7" xfId="1678"/>
    <cellStyle name="40% - Accent3 11" xfId="1679"/>
    <cellStyle name="40% - Accent3 11 2" xfId="1680"/>
    <cellStyle name="40% - Accent3 11 2 2" xfId="1681"/>
    <cellStyle name="40% - Accent3 11 2 3" xfId="1682"/>
    <cellStyle name="40% - Accent3 11 3" xfId="1683"/>
    <cellStyle name="40% - Accent3 11 3 2" xfId="1684"/>
    <cellStyle name="40% - Accent3 11 3 3" xfId="1685"/>
    <cellStyle name="40% - Accent3 11 4" xfId="1686"/>
    <cellStyle name="40% - Accent3 11 4 2" xfId="1687"/>
    <cellStyle name="40% - Accent3 11 4 3" xfId="1688"/>
    <cellStyle name="40% - Accent3 11 5" xfId="1689"/>
    <cellStyle name="40% - Accent3 11 6" xfId="1690"/>
    <cellStyle name="40% - Accent3 11 7" xfId="1691"/>
    <cellStyle name="40% - Accent3 12" xfId="1692"/>
    <cellStyle name="40% - Accent3 12 2" xfId="1693"/>
    <cellStyle name="40% - Accent3 12 2 2" xfId="1694"/>
    <cellStyle name="40% - Accent3 12 2 3" xfId="1695"/>
    <cellStyle name="40% - Accent3 12 3" xfId="1696"/>
    <cellStyle name="40% - Accent3 12 3 2" xfId="1697"/>
    <cellStyle name="40% - Accent3 12 3 3" xfId="1698"/>
    <cellStyle name="40% - Accent3 12 4" xfId="1699"/>
    <cellStyle name="40% - Accent3 12 4 2" xfId="1700"/>
    <cellStyle name="40% - Accent3 12 4 3" xfId="1701"/>
    <cellStyle name="40% - Accent3 12 5" xfId="1702"/>
    <cellStyle name="40% - Accent3 12 6" xfId="1703"/>
    <cellStyle name="40% - Accent3 12 7" xfId="1704"/>
    <cellStyle name="40% - Accent3 13" xfId="1705"/>
    <cellStyle name="40% - Accent3 13 2" xfId="1706"/>
    <cellStyle name="40% - Accent3 13 2 2" xfId="1707"/>
    <cellStyle name="40% - Accent3 13 2 3" xfId="1708"/>
    <cellStyle name="40% - Accent3 13 3" xfId="1709"/>
    <cellStyle name="40% - Accent3 13 3 2" xfId="1710"/>
    <cellStyle name="40% - Accent3 13 3 3" xfId="1711"/>
    <cellStyle name="40% - Accent3 13 4" xfId="1712"/>
    <cellStyle name="40% - Accent3 13 4 2" xfId="1713"/>
    <cellStyle name="40% - Accent3 13 4 3" xfId="1714"/>
    <cellStyle name="40% - Accent3 13 5" xfId="1715"/>
    <cellStyle name="40% - Accent3 13 6" xfId="1716"/>
    <cellStyle name="40% - Accent3 13 7" xfId="1717"/>
    <cellStyle name="40% - Accent3 14" xfId="1718"/>
    <cellStyle name="40% - Accent3 14 2" xfId="1719"/>
    <cellStyle name="40% - Accent3 14 2 2" xfId="1720"/>
    <cellStyle name="40% - Accent3 14 2 3" xfId="1721"/>
    <cellStyle name="40% - Accent3 14 3" xfId="1722"/>
    <cellStyle name="40% - Accent3 14 3 2" xfId="1723"/>
    <cellStyle name="40% - Accent3 14 3 3" xfId="1724"/>
    <cellStyle name="40% - Accent3 14 4" xfId="1725"/>
    <cellStyle name="40% - Accent3 14 4 2" xfId="1726"/>
    <cellStyle name="40% - Accent3 14 4 3" xfId="1727"/>
    <cellStyle name="40% - Accent3 14 5" xfId="1728"/>
    <cellStyle name="40% - Accent3 14 6" xfId="1729"/>
    <cellStyle name="40% - Accent3 14 7" xfId="1730"/>
    <cellStyle name="40% - Accent3 15" xfId="1731"/>
    <cellStyle name="40% - Accent3 15 2" xfId="1732"/>
    <cellStyle name="40% - Accent3 15 2 2" xfId="1733"/>
    <cellStyle name="40% - Accent3 15 2 3" xfId="1734"/>
    <cellStyle name="40% - Accent3 15 3" xfId="1735"/>
    <cellStyle name="40% - Accent3 15 3 2" xfId="1736"/>
    <cellStyle name="40% - Accent3 15 3 3" xfId="1737"/>
    <cellStyle name="40% - Accent3 15 4" xfId="1738"/>
    <cellStyle name="40% - Accent3 15 4 2" xfId="1739"/>
    <cellStyle name="40% - Accent3 15 4 3" xfId="1740"/>
    <cellStyle name="40% - Accent3 15 5" xfId="1741"/>
    <cellStyle name="40% - Accent3 15 6" xfId="1742"/>
    <cellStyle name="40% - Accent3 15 7" xfId="1743"/>
    <cellStyle name="40% - Accent3 16" xfId="1744"/>
    <cellStyle name="40% - Accent3 16 2" xfId="1745"/>
    <cellStyle name="40% - Accent3 16 2 2" xfId="1746"/>
    <cellStyle name="40% - Accent3 16 2 3" xfId="1747"/>
    <cellStyle name="40% - Accent3 16 3" xfId="1748"/>
    <cellStyle name="40% - Accent3 16 3 2" xfId="1749"/>
    <cellStyle name="40% - Accent3 16 3 3" xfId="1750"/>
    <cellStyle name="40% - Accent3 16 4" xfId="1751"/>
    <cellStyle name="40% - Accent3 16 4 2" xfId="1752"/>
    <cellStyle name="40% - Accent3 16 4 3" xfId="1753"/>
    <cellStyle name="40% - Accent3 16 5" xfId="1754"/>
    <cellStyle name="40% - Accent3 16 6" xfId="1755"/>
    <cellStyle name="40% - Accent3 16 7" xfId="1756"/>
    <cellStyle name="40% - Accent3 17" xfId="1757"/>
    <cellStyle name="40% - Accent3 17 2" xfId="1758"/>
    <cellStyle name="40% - Accent3 17 2 2" xfId="1759"/>
    <cellStyle name="40% - Accent3 17 2 3" xfId="1760"/>
    <cellStyle name="40% - Accent3 17 3" xfId="1761"/>
    <cellStyle name="40% - Accent3 17 3 2" xfId="1762"/>
    <cellStyle name="40% - Accent3 17 3 3" xfId="1763"/>
    <cellStyle name="40% - Accent3 17 4" xfId="1764"/>
    <cellStyle name="40% - Accent3 17 4 2" xfId="1765"/>
    <cellStyle name="40% - Accent3 17 4 3" xfId="1766"/>
    <cellStyle name="40% - Accent3 17 5" xfId="1767"/>
    <cellStyle name="40% - Accent3 17 6" xfId="1768"/>
    <cellStyle name="40% - Accent3 17 7" xfId="1769"/>
    <cellStyle name="40% - Accent3 2" xfId="1770"/>
    <cellStyle name="40% - Accent3 2 2" xfId="1771"/>
    <cellStyle name="40% - Accent3 2 2 2" xfId="1772"/>
    <cellStyle name="40% - Accent3 2 2 3" xfId="1773"/>
    <cellStyle name="40% - Accent3 2 3" xfId="1774"/>
    <cellStyle name="40% - Accent3 2 3 2" xfId="1775"/>
    <cellStyle name="40% - Accent3 2 3 3" xfId="1776"/>
    <cellStyle name="40% - Accent3 2 4" xfId="1777"/>
    <cellStyle name="40% - Accent3 2 4 2" xfId="1778"/>
    <cellStyle name="40% - Accent3 2 4 3" xfId="1779"/>
    <cellStyle name="40% - Accent3 2 5" xfId="1780"/>
    <cellStyle name="40% - Accent3 2 6" xfId="1781"/>
    <cellStyle name="40% - Accent3 2 7" xfId="1782"/>
    <cellStyle name="40% - Accent3 3" xfId="1783"/>
    <cellStyle name="40% - Accent3 3 2" xfId="1784"/>
    <cellStyle name="40% - Accent3 3 2 2" xfId="1785"/>
    <cellStyle name="40% - Accent3 3 2 3" xfId="1786"/>
    <cellStyle name="40% - Accent3 3 3" xfId="1787"/>
    <cellStyle name="40% - Accent3 3 3 2" xfId="1788"/>
    <cellStyle name="40% - Accent3 3 3 3" xfId="1789"/>
    <cellStyle name="40% - Accent3 3 4" xfId="1790"/>
    <cellStyle name="40% - Accent3 3 4 2" xfId="1791"/>
    <cellStyle name="40% - Accent3 3 4 3" xfId="1792"/>
    <cellStyle name="40% - Accent3 3 5" xfId="1793"/>
    <cellStyle name="40% - Accent3 3 6" xfId="1794"/>
    <cellStyle name="40% - Accent3 3 7" xfId="1795"/>
    <cellStyle name="40% - Accent3 4" xfId="1796"/>
    <cellStyle name="40% - Accent3 4 2" xfId="1797"/>
    <cellStyle name="40% - Accent3 4 2 2" xfId="1798"/>
    <cellStyle name="40% - Accent3 4 2 3" xfId="1799"/>
    <cellStyle name="40% - Accent3 4 3" xfId="1800"/>
    <cellStyle name="40% - Accent3 4 3 2" xfId="1801"/>
    <cellStyle name="40% - Accent3 4 3 3" xfId="1802"/>
    <cellStyle name="40% - Accent3 4 4" xfId="1803"/>
    <cellStyle name="40% - Accent3 4 4 2" xfId="1804"/>
    <cellStyle name="40% - Accent3 4 4 3" xfId="1805"/>
    <cellStyle name="40% - Accent3 4 5" xfId="1806"/>
    <cellStyle name="40% - Accent3 4 6" xfId="1807"/>
    <cellStyle name="40% - Accent3 4 7" xfId="1808"/>
    <cellStyle name="40% - Accent3 5" xfId="1809"/>
    <cellStyle name="40% - Accent3 5 2" xfId="1810"/>
    <cellStyle name="40% - Accent3 5 2 2" xfId="1811"/>
    <cellStyle name="40% - Accent3 5 2 3" xfId="1812"/>
    <cellStyle name="40% - Accent3 5 3" xfId="1813"/>
    <cellStyle name="40% - Accent3 5 3 2" xfId="1814"/>
    <cellStyle name="40% - Accent3 5 3 3" xfId="1815"/>
    <cellStyle name="40% - Accent3 5 4" xfId="1816"/>
    <cellStyle name="40% - Accent3 5 4 2" xfId="1817"/>
    <cellStyle name="40% - Accent3 5 4 3" xfId="1818"/>
    <cellStyle name="40% - Accent3 5 5" xfId="1819"/>
    <cellStyle name="40% - Accent3 5 6" xfId="1820"/>
    <cellStyle name="40% - Accent3 5 7" xfId="1821"/>
    <cellStyle name="40% - Accent3 6" xfId="1822"/>
    <cellStyle name="40% - Accent3 6 2" xfId="1823"/>
    <cellStyle name="40% - Accent3 6 2 2" xfId="1824"/>
    <cellStyle name="40% - Accent3 6 2 3" xfId="1825"/>
    <cellStyle name="40% - Accent3 6 3" xfId="1826"/>
    <cellStyle name="40% - Accent3 6 3 2" xfId="1827"/>
    <cellStyle name="40% - Accent3 6 3 3" xfId="1828"/>
    <cellStyle name="40% - Accent3 6 4" xfId="1829"/>
    <cellStyle name="40% - Accent3 6 4 2" xfId="1830"/>
    <cellStyle name="40% - Accent3 6 4 3" xfId="1831"/>
    <cellStyle name="40% - Accent3 6 5" xfId="1832"/>
    <cellStyle name="40% - Accent3 6 6" xfId="1833"/>
    <cellStyle name="40% - Accent3 6 7" xfId="1834"/>
    <cellStyle name="40% - Accent3 7" xfId="1835"/>
    <cellStyle name="40% - Accent3 7 2" xfId="1836"/>
    <cellStyle name="40% - Accent3 7 2 2" xfId="1837"/>
    <cellStyle name="40% - Accent3 7 2 3" xfId="1838"/>
    <cellStyle name="40% - Accent3 7 3" xfId="1839"/>
    <cellStyle name="40% - Accent3 7 3 2" xfId="1840"/>
    <cellStyle name="40% - Accent3 7 3 3" xfId="1841"/>
    <cellStyle name="40% - Accent3 7 4" xfId="1842"/>
    <cellStyle name="40% - Accent3 7 4 2" xfId="1843"/>
    <cellStyle name="40% - Accent3 7 4 3" xfId="1844"/>
    <cellStyle name="40% - Accent3 7 5" xfId="1845"/>
    <cellStyle name="40% - Accent3 7 6" xfId="1846"/>
    <cellStyle name="40% - Accent3 7 7" xfId="1847"/>
    <cellStyle name="40% - Accent3 8" xfId="1848"/>
    <cellStyle name="40% - Accent3 8 2" xfId="1849"/>
    <cellStyle name="40% - Accent3 8 2 2" xfId="1850"/>
    <cellStyle name="40% - Accent3 8 2 3" xfId="1851"/>
    <cellStyle name="40% - Accent3 8 3" xfId="1852"/>
    <cellStyle name="40% - Accent3 8 3 2" xfId="1853"/>
    <cellStyle name="40% - Accent3 8 3 3" xfId="1854"/>
    <cellStyle name="40% - Accent3 8 4" xfId="1855"/>
    <cellStyle name="40% - Accent3 8 4 2" xfId="1856"/>
    <cellStyle name="40% - Accent3 8 4 3" xfId="1857"/>
    <cellStyle name="40% - Accent3 8 5" xfId="1858"/>
    <cellStyle name="40% - Accent3 8 6" xfId="1859"/>
    <cellStyle name="40% - Accent3 8 7" xfId="1860"/>
    <cellStyle name="40% - Accent3 9" xfId="1861"/>
    <cellStyle name="40% - Accent3 9 2" xfId="1862"/>
    <cellStyle name="40% - Accent3 9 2 2" xfId="1863"/>
    <cellStyle name="40% - Accent3 9 2 3" xfId="1864"/>
    <cellStyle name="40% - Accent3 9 3" xfId="1865"/>
    <cellStyle name="40% - Accent3 9 3 2" xfId="1866"/>
    <cellStyle name="40% - Accent3 9 3 3" xfId="1867"/>
    <cellStyle name="40% - Accent3 9 4" xfId="1868"/>
    <cellStyle name="40% - Accent3 9 4 2" xfId="1869"/>
    <cellStyle name="40% - Accent3 9 4 3" xfId="1870"/>
    <cellStyle name="40% - Accent3 9 5" xfId="1871"/>
    <cellStyle name="40% - Accent3 9 6" xfId="1872"/>
    <cellStyle name="40% - Accent3 9 7" xfId="1873"/>
    <cellStyle name="40% - Accent4" xfId="3196" builtinId="43" customBuiltin="1"/>
    <cellStyle name="40% - Accent4 10" xfId="1874"/>
    <cellStyle name="40% - Accent4 10 2" xfId="1875"/>
    <cellStyle name="40% - Accent4 10 2 2" xfId="1876"/>
    <cellStyle name="40% - Accent4 10 2 3" xfId="1877"/>
    <cellStyle name="40% - Accent4 10 3" xfId="1878"/>
    <cellStyle name="40% - Accent4 10 3 2" xfId="1879"/>
    <cellStyle name="40% - Accent4 10 3 3" xfId="1880"/>
    <cellStyle name="40% - Accent4 10 4" xfId="1881"/>
    <cellStyle name="40% - Accent4 10 4 2" xfId="1882"/>
    <cellStyle name="40% - Accent4 10 4 3" xfId="1883"/>
    <cellStyle name="40% - Accent4 10 5" xfId="1884"/>
    <cellStyle name="40% - Accent4 10 6" xfId="1885"/>
    <cellStyle name="40% - Accent4 10 7" xfId="1886"/>
    <cellStyle name="40% - Accent4 11" xfId="1887"/>
    <cellStyle name="40% - Accent4 11 2" xfId="1888"/>
    <cellStyle name="40% - Accent4 11 2 2" xfId="1889"/>
    <cellStyle name="40% - Accent4 11 2 3" xfId="1890"/>
    <cellStyle name="40% - Accent4 11 3" xfId="1891"/>
    <cellStyle name="40% - Accent4 11 3 2" xfId="1892"/>
    <cellStyle name="40% - Accent4 11 3 3" xfId="1893"/>
    <cellStyle name="40% - Accent4 11 4" xfId="1894"/>
    <cellStyle name="40% - Accent4 11 4 2" xfId="1895"/>
    <cellStyle name="40% - Accent4 11 4 3" xfId="1896"/>
    <cellStyle name="40% - Accent4 11 5" xfId="1897"/>
    <cellStyle name="40% - Accent4 11 6" xfId="1898"/>
    <cellStyle name="40% - Accent4 11 7" xfId="1899"/>
    <cellStyle name="40% - Accent4 12" xfId="1900"/>
    <cellStyle name="40% - Accent4 12 2" xfId="1901"/>
    <cellStyle name="40% - Accent4 12 2 2" xfId="1902"/>
    <cellStyle name="40% - Accent4 12 2 3" xfId="1903"/>
    <cellStyle name="40% - Accent4 12 3" xfId="1904"/>
    <cellStyle name="40% - Accent4 12 3 2" xfId="1905"/>
    <cellStyle name="40% - Accent4 12 3 3" xfId="1906"/>
    <cellStyle name="40% - Accent4 12 4" xfId="1907"/>
    <cellStyle name="40% - Accent4 12 4 2" xfId="1908"/>
    <cellStyle name="40% - Accent4 12 4 3" xfId="1909"/>
    <cellStyle name="40% - Accent4 12 5" xfId="1910"/>
    <cellStyle name="40% - Accent4 12 6" xfId="1911"/>
    <cellStyle name="40% - Accent4 12 7" xfId="1912"/>
    <cellStyle name="40% - Accent4 13" xfId="1913"/>
    <cellStyle name="40% - Accent4 13 2" xfId="1914"/>
    <cellStyle name="40% - Accent4 13 2 2" xfId="1915"/>
    <cellStyle name="40% - Accent4 13 2 3" xfId="1916"/>
    <cellStyle name="40% - Accent4 13 3" xfId="1917"/>
    <cellStyle name="40% - Accent4 13 3 2" xfId="1918"/>
    <cellStyle name="40% - Accent4 13 3 3" xfId="1919"/>
    <cellStyle name="40% - Accent4 13 4" xfId="1920"/>
    <cellStyle name="40% - Accent4 13 4 2" xfId="1921"/>
    <cellStyle name="40% - Accent4 13 4 3" xfId="1922"/>
    <cellStyle name="40% - Accent4 13 5" xfId="1923"/>
    <cellStyle name="40% - Accent4 13 6" xfId="1924"/>
    <cellStyle name="40% - Accent4 13 7" xfId="1925"/>
    <cellStyle name="40% - Accent4 14" xfId="1926"/>
    <cellStyle name="40% - Accent4 14 2" xfId="1927"/>
    <cellStyle name="40% - Accent4 14 2 2" xfId="1928"/>
    <cellStyle name="40% - Accent4 14 2 3" xfId="1929"/>
    <cellStyle name="40% - Accent4 14 3" xfId="1930"/>
    <cellStyle name="40% - Accent4 14 3 2" xfId="1931"/>
    <cellStyle name="40% - Accent4 14 3 3" xfId="1932"/>
    <cellStyle name="40% - Accent4 14 4" xfId="1933"/>
    <cellStyle name="40% - Accent4 14 4 2" xfId="1934"/>
    <cellStyle name="40% - Accent4 14 4 3" xfId="1935"/>
    <cellStyle name="40% - Accent4 14 5" xfId="1936"/>
    <cellStyle name="40% - Accent4 14 6" xfId="1937"/>
    <cellStyle name="40% - Accent4 14 7" xfId="1938"/>
    <cellStyle name="40% - Accent4 15" xfId="1939"/>
    <cellStyle name="40% - Accent4 15 2" xfId="1940"/>
    <cellStyle name="40% - Accent4 15 2 2" xfId="1941"/>
    <cellStyle name="40% - Accent4 15 2 3" xfId="1942"/>
    <cellStyle name="40% - Accent4 15 3" xfId="1943"/>
    <cellStyle name="40% - Accent4 15 3 2" xfId="1944"/>
    <cellStyle name="40% - Accent4 15 3 3" xfId="1945"/>
    <cellStyle name="40% - Accent4 15 4" xfId="1946"/>
    <cellStyle name="40% - Accent4 15 4 2" xfId="1947"/>
    <cellStyle name="40% - Accent4 15 4 3" xfId="1948"/>
    <cellStyle name="40% - Accent4 15 5" xfId="1949"/>
    <cellStyle name="40% - Accent4 15 6" xfId="1950"/>
    <cellStyle name="40% - Accent4 15 7" xfId="1951"/>
    <cellStyle name="40% - Accent4 16" xfId="1952"/>
    <cellStyle name="40% - Accent4 16 2" xfId="1953"/>
    <cellStyle name="40% - Accent4 16 2 2" xfId="1954"/>
    <cellStyle name="40% - Accent4 16 2 3" xfId="1955"/>
    <cellStyle name="40% - Accent4 16 3" xfId="1956"/>
    <cellStyle name="40% - Accent4 16 3 2" xfId="1957"/>
    <cellStyle name="40% - Accent4 16 3 3" xfId="1958"/>
    <cellStyle name="40% - Accent4 16 4" xfId="1959"/>
    <cellStyle name="40% - Accent4 16 4 2" xfId="1960"/>
    <cellStyle name="40% - Accent4 16 4 3" xfId="1961"/>
    <cellStyle name="40% - Accent4 16 5" xfId="1962"/>
    <cellStyle name="40% - Accent4 16 6" xfId="1963"/>
    <cellStyle name="40% - Accent4 16 7" xfId="1964"/>
    <cellStyle name="40% - Accent4 17" xfId="1965"/>
    <cellStyle name="40% - Accent4 17 2" xfId="1966"/>
    <cellStyle name="40% - Accent4 17 2 2" xfId="1967"/>
    <cellStyle name="40% - Accent4 17 2 3" xfId="1968"/>
    <cellStyle name="40% - Accent4 17 3" xfId="1969"/>
    <cellStyle name="40% - Accent4 17 3 2" xfId="1970"/>
    <cellStyle name="40% - Accent4 17 3 3" xfId="1971"/>
    <cellStyle name="40% - Accent4 17 4" xfId="1972"/>
    <cellStyle name="40% - Accent4 17 4 2" xfId="1973"/>
    <cellStyle name="40% - Accent4 17 4 3" xfId="1974"/>
    <cellStyle name="40% - Accent4 17 5" xfId="1975"/>
    <cellStyle name="40% - Accent4 17 6" xfId="1976"/>
    <cellStyle name="40% - Accent4 17 7" xfId="1977"/>
    <cellStyle name="40% - Accent4 2" xfId="1978"/>
    <cellStyle name="40% - Accent4 2 2" xfId="1979"/>
    <cellStyle name="40% - Accent4 2 2 2" xfId="1980"/>
    <cellStyle name="40% - Accent4 2 2 3" xfId="1981"/>
    <cellStyle name="40% - Accent4 2 3" xfId="1982"/>
    <cellStyle name="40% - Accent4 2 3 2" xfId="1983"/>
    <cellStyle name="40% - Accent4 2 3 3" xfId="1984"/>
    <cellStyle name="40% - Accent4 2 4" xfId="1985"/>
    <cellStyle name="40% - Accent4 2 4 2" xfId="1986"/>
    <cellStyle name="40% - Accent4 2 4 3" xfId="1987"/>
    <cellStyle name="40% - Accent4 2 5" xfId="1988"/>
    <cellStyle name="40% - Accent4 2 6" xfId="1989"/>
    <cellStyle name="40% - Accent4 2 7" xfId="1990"/>
    <cellStyle name="40% - Accent4 3" xfId="1991"/>
    <cellStyle name="40% - Accent4 3 2" xfId="1992"/>
    <cellStyle name="40% - Accent4 3 2 2" xfId="1993"/>
    <cellStyle name="40% - Accent4 3 2 3" xfId="1994"/>
    <cellStyle name="40% - Accent4 3 3" xfId="1995"/>
    <cellStyle name="40% - Accent4 3 3 2" xfId="1996"/>
    <cellStyle name="40% - Accent4 3 3 3" xfId="1997"/>
    <cellStyle name="40% - Accent4 3 4" xfId="1998"/>
    <cellStyle name="40% - Accent4 3 4 2" xfId="1999"/>
    <cellStyle name="40% - Accent4 3 4 3" xfId="2000"/>
    <cellStyle name="40% - Accent4 3 5" xfId="2001"/>
    <cellStyle name="40% - Accent4 3 6" xfId="2002"/>
    <cellStyle name="40% - Accent4 3 7" xfId="2003"/>
    <cellStyle name="40% - Accent4 4" xfId="2004"/>
    <cellStyle name="40% - Accent4 4 2" xfId="2005"/>
    <cellStyle name="40% - Accent4 4 2 2" xfId="2006"/>
    <cellStyle name="40% - Accent4 4 2 3" xfId="2007"/>
    <cellStyle name="40% - Accent4 4 3" xfId="2008"/>
    <cellStyle name="40% - Accent4 4 3 2" xfId="2009"/>
    <cellStyle name="40% - Accent4 4 3 3" xfId="2010"/>
    <cellStyle name="40% - Accent4 4 4" xfId="2011"/>
    <cellStyle name="40% - Accent4 4 4 2" xfId="2012"/>
    <cellStyle name="40% - Accent4 4 4 3" xfId="2013"/>
    <cellStyle name="40% - Accent4 4 5" xfId="2014"/>
    <cellStyle name="40% - Accent4 4 6" xfId="2015"/>
    <cellStyle name="40% - Accent4 4 7" xfId="2016"/>
    <cellStyle name="40% - Accent4 5" xfId="2017"/>
    <cellStyle name="40% - Accent4 5 2" xfId="2018"/>
    <cellStyle name="40% - Accent4 5 2 2" xfId="2019"/>
    <cellStyle name="40% - Accent4 5 2 3" xfId="2020"/>
    <cellStyle name="40% - Accent4 5 3" xfId="2021"/>
    <cellStyle name="40% - Accent4 5 3 2" xfId="2022"/>
    <cellStyle name="40% - Accent4 5 3 3" xfId="2023"/>
    <cellStyle name="40% - Accent4 5 4" xfId="2024"/>
    <cellStyle name="40% - Accent4 5 4 2" xfId="2025"/>
    <cellStyle name="40% - Accent4 5 4 3" xfId="2026"/>
    <cellStyle name="40% - Accent4 5 5" xfId="2027"/>
    <cellStyle name="40% - Accent4 5 6" xfId="2028"/>
    <cellStyle name="40% - Accent4 5 7" xfId="2029"/>
    <cellStyle name="40% - Accent4 6" xfId="2030"/>
    <cellStyle name="40% - Accent4 6 2" xfId="2031"/>
    <cellStyle name="40% - Accent4 6 2 2" xfId="2032"/>
    <cellStyle name="40% - Accent4 6 2 3" xfId="2033"/>
    <cellStyle name="40% - Accent4 6 3" xfId="2034"/>
    <cellStyle name="40% - Accent4 6 3 2" xfId="2035"/>
    <cellStyle name="40% - Accent4 6 3 3" xfId="2036"/>
    <cellStyle name="40% - Accent4 6 4" xfId="2037"/>
    <cellStyle name="40% - Accent4 6 4 2" xfId="2038"/>
    <cellStyle name="40% - Accent4 6 4 3" xfId="2039"/>
    <cellStyle name="40% - Accent4 6 5" xfId="2040"/>
    <cellStyle name="40% - Accent4 6 6" xfId="2041"/>
    <cellStyle name="40% - Accent4 6 7" xfId="2042"/>
    <cellStyle name="40% - Accent4 7" xfId="2043"/>
    <cellStyle name="40% - Accent4 7 2" xfId="2044"/>
    <cellStyle name="40% - Accent4 7 2 2" xfId="2045"/>
    <cellStyle name="40% - Accent4 7 2 3" xfId="2046"/>
    <cellStyle name="40% - Accent4 7 3" xfId="2047"/>
    <cellStyle name="40% - Accent4 7 3 2" xfId="2048"/>
    <cellStyle name="40% - Accent4 7 3 3" xfId="2049"/>
    <cellStyle name="40% - Accent4 7 4" xfId="2050"/>
    <cellStyle name="40% - Accent4 7 4 2" xfId="2051"/>
    <cellStyle name="40% - Accent4 7 4 3" xfId="2052"/>
    <cellStyle name="40% - Accent4 7 5" xfId="2053"/>
    <cellStyle name="40% - Accent4 7 6" xfId="2054"/>
    <cellStyle name="40% - Accent4 7 7" xfId="2055"/>
    <cellStyle name="40% - Accent4 8" xfId="2056"/>
    <cellStyle name="40% - Accent4 8 2" xfId="2057"/>
    <cellStyle name="40% - Accent4 8 2 2" xfId="2058"/>
    <cellStyle name="40% - Accent4 8 2 3" xfId="2059"/>
    <cellStyle name="40% - Accent4 8 3" xfId="2060"/>
    <cellStyle name="40% - Accent4 8 3 2" xfId="2061"/>
    <cellStyle name="40% - Accent4 8 3 3" xfId="2062"/>
    <cellStyle name="40% - Accent4 8 4" xfId="2063"/>
    <cellStyle name="40% - Accent4 8 4 2" xfId="2064"/>
    <cellStyle name="40% - Accent4 8 4 3" xfId="2065"/>
    <cellStyle name="40% - Accent4 8 5" xfId="2066"/>
    <cellStyle name="40% - Accent4 8 6" xfId="2067"/>
    <cellStyle name="40% - Accent4 8 7" xfId="2068"/>
    <cellStyle name="40% - Accent4 9" xfId="2069"/>
    <cellStyle name="40% - Accent4 9 2" xfId="2070"/>
    <cellStyle name="40% - Accent4 9 2 2" xfId="2071"/>
    <cellStyle name="40% - Accent4 9 2 3" xfId="2072"/>
    <cellStyle name="40% - Accent4 9 3" xfId="2073"/>
    <cellStyle name="40% - Accent4 9 3 2" xfId="2074"/>
    <cellStyle name="40% - Accent4 9 3 3" xfId="2075"/>
    <cellStyle name="40% - Accent4 9 4" xfId="2076"/>
    <cellStyle name="40% - Accent4 9 4 2" xfId="2077"/>
    <cellStyle name="40% - Accent4 9 4 3" xfId="2078"/>
    <cellStyle name="40% - Accent4 9 5" xfId="2079"/>
    <cellStyle name="40% - Accent4 9 6" xfId="2080"/>
    <cellStyle name="40% - Accent4 9 7" xfId="2081"/>
    <cellStyle name="40% - Accent5" xfId="3200" builtinId="47" customBuiltin="1"/>
    <cellStyle name="40% - Accent5 10" xfId="2082"/>
    <cellStyle name="40% - Accent5 10 2" xfId="2083"/>
    <cellStyle name="40% - Accent5 10 2 2" xfId="2084"/>
    <cellStyle name="40% - Accent5 10 2 3" xfId="2085"/>
    <cellStyle name="40% - Accent5 10 3" xfId="2086"/>
    <cellStyle name="40% - Accent5 10 3 2" xfId="2087"/>
    <cellStyle name="40% - Accent5 10 3 3" xfId="2088"/>
    <cellStyle name="40% - Accent5 10 4" xfId="2089"/>
    <cellStyle name="40% - Accent5 10 4 2" xfId="2090"/>
    <cellStyle name="40% - Accent5 10 4 3" xfId="2091"/>
    <cellStyle name="40% - Accent5 10 5" xfId="2092"/>
    <cellStyle name="40% - Accent5 10 6" xfId="2093"/>
    <cellStyle name="40% - Accent5 10 7" xfId="2094"/>
    <cellStyle name="40% - Accent5 11" xfId="2095"/>
    <cellStyle name="40% - Accent5 11 2" xfId="2096"/>
    <cellStyle name="40% - Accent5 11 2 2" xfId="2097"/>
    <cellStyle name="40% - Accent5 11 2 3" xfId="2098"/>
    <cellStyle name="40% - Accent5 11 3" xfId="2099"/>
    <cellStyle name="40% - Accent5 11 3 2" xfId="2100"/>
    <cellStyle name="40% - Accent5 11 3 3" xfId="2101"/>
    <cellStyle name="40% - Accent5 11 4" xfId="2102"/>
    <cellStyle name="40% - Accent5 11 4 2" xfId="2103"/>
    <cellStyle name="40% - Accent5 11 4 3" xfId="2104"/>
    <cellStyle name="40% - Accent5 11 5" xfId="2105"/>
    <cellStyle name="40% - Accent5 11 6" xfId="2106"/>
    <cellStyle name="40% - Accent5 11 7" xfId="2107"/>
    <cellStyle name="40% - Accent5 12" xfId="2108"/>
    <cellStyle name="40% - Accent5 12 2" xfId="2109"/>
    <cellStyle name="40% - Accent5 12 2 2" xfId="2110"/>
    <cellStyle name="40% - Accent5 12 2 3" xfId="2111"/>
    <cellStyle name="40% - Accent5 12 3" xfId="2112"/>
    <cellStyle name="40% - Accent5 12 3 2" xfId="2113"/>
    <cellStyle name="40% - Accent5 12 3 3" xfId="2114"/>
    <cellStyle name="40% - Accent5 12 4" xfId="2115"/>
    <cellStyle name="40% - Accent5 12 4 2" xfId="2116"/>
    <cellStyle name="40% - Accent5 12 4 3" xfId="2117"/>
    <cellStyle name="40% - Accent5 12 5" xfId="2118"/>
    <cellStyle name="40% - Accent5 12 6" xfId="2119"/>
    <cellStyle name="40% - Accent5 12 7" xfId="2120"/>
    <cellStyle name="40% - Accent5 13" xfId="2121"/>
    <cellStyle name="40% - Accent5 13 2" xfId="2122"/>
    <cellStyle name="40% - Accent5 13 2 2" xfId="2123"/>
    <cellStyle name="40% - Accent5 13 2 3" xfId="2124"/>
    <cellStyle name="40% - Accent5 13 3" xfId="2125"/>
    <cellStyle name="40% - Accent5 13 3 2" xfId="2126"/>
    <cellStyle name="40% - Accent5 13 3 3" xfId="2127"/>
    <cellStyle name="40% - Accent5 13 4" xfId="2128"/>
    <cellStyle name="40% - Accent5 13 4 2" xfId="2129"/>
    <cellStyle name="40% - Accent5 13 4 3" xfId="2130"/>
    <cellStyle name="40% - Accent5 13 5" xfId="2131"/>
    <cellStyle name="40% - Accent5 13 6" xfId="2132"/>
    <cellStyle name="40% - Accent5 13 7" xfId="2133"/>
    <cellStyle name="40% - Accent5 14" xfId="2134"/>
    <cellStyle name="40% - Accent5 14 2" xfId="2135"/>
    <cellStyle name="40% - Accent5 14 2 2" xfId="2136"/>
    <cellStyle name="40% - Accent5 14 2 3" xfId="2137"/>
    <cellStyle name="40% - Accent5 14 3" xfId="2138"/>
    <cellStyle name="40% - Accent5 14 3 2" xfId="2139"/>
    <cellStyle name="40% - Accent5 14 3 3" xfId="2140"/>
    <cellStyle name="40% - Accent5 14 4" xfId="2141"/>
    <cellStyle name="40% - Accent5 14 4 2" xfId="2142"/>
    <cellStyle name="40% - Accent5 14 4 3" xfId="2143"/>
    <cellStyle name="40% - Accent5 14 5" xfId="2144"/>
    <cellStyle name="40% - Accent5 14 6" xfId="2145"/>
    <cellStyle name="40% - Accent5 14 7" xfId="2146"/>
    <cellStyle name="40% - Accent5 15" xfId="2147"/>
    <cellStyle name="40% - Accent5 15 2" xfId="2148"/>
    <cellStyle name="40% - Accent5 15 2 2" xfId="2149"/>
    <cellStyle name="40% - Accent5 15 2 3" xfId="2150"/>
    <cellStyle name="40% - Accent5 15 3" xfId="2151"/>
    <cellStyle name="40% - Accent5 15 3 2" xfId="2152"/>
    <cellStyle name="40% - Accent5 15 3 3" xfId="2153"/>
    <cellStyle name="40% - Accent5 15 4" xfId="2154"/>
    <cellStyle name="40% - Accent5 15 4 2" xfId="2155"/>
    <cellStyle name="40% - Accent5 15 4 3" xfId="2156"/>
    <cellStyle name="40% - Accent5 15 5" xfId="2157"/>
    <cellStyle name="40% - Accent5 15 6" xfId="2158"/>
    <cellStyle name="40% - Accent5 15 7" xfId="2159"/>
    <cellStyle name="40% - Accent5 16" xfId="2160"/>
    <cellStyle name="40% - Accent5 16 2" xfId="2161"/>
    <cellStyle name="40% - Accent5 16 2 2" xfId="2162"/>
    <cellStyle name="40% - Accent5 16 2 3" xfId="2163"/>
    <cellStyle name="40% - Accent5 16 3" xfId="2164"/>
    <cellStyle name="40% - Accent5 16 3 2" xfId="2165"/>
    <cellStyle name="40% - Accent5 16 3 3" xfId="2166"/>
    <cellStyle name="40% - Accent5 16 4" xfId="2167"/>
    <cellStyle name="40% - Accent5 16 4 2" xfId="2168"/>
    <cellStyle name="40% - Accent5 16 4 3" xfId="2169"/>
    <cellStyle name="40% - Accent5 16 5" xfId="2170"/>
    <cellStyle name="40% - Accent5 16 6" xfId="2171"/>
    <cellStyle name="40% - Accent5 16 7" xfId="2172"/>
    <cellStyle name="40% - Accent5 17" xfId="2173"/>
    <cellStyle name="40% - Accent5 17 2" xfId="2174"/>
    <cellStyle name="40% - Accent5 17 2 2" xfId="2175"/>
    <cellStyle name="40% - Accent5 17 2 3" xfId="2176"/>
    <cellStyle name="40% - Accent5 17 3" xfId="2177"/>
    <cellStyle name="40% - Accent5 17 3 2" xfId="2178"/>
    <cellStyle name="40% - Accent5 17 3 3" xfId="2179"/>
    <cellStyle name="40% - Accent5 17 4" xfId="2180"/>
    <cellStyle name="40% - Accent5 17 4 2" xfId="2181"/>
    <cellStyle name="40% - Accent5 17 4 3" xfId="2182"/>
    <cellStyle name="40% - Accent5 17 5" xfId="2183"/>
    <cellStyle name="40% - Accent5 17 6" xfId="2184"/>
    <cellStyle name="40% - Accent5 17 7" xfId="2185"/>
    <cellStyle name="40% - Accent5 2" xfId="2186"/>
    <cellStyle name="40% - Accent5 2 2" xfId="2187"/>
    <cellStyle name="40% - Accent5 2 2 2" xfId="2188"/>
    <cellStyle name="40% - Accent5 2 2 3" xfId="2189"/>
    <cellStyle name="40% - Accent5 2 3" xfId="2190"/>
    <cellStyle name="40% - Accent5 2 3 2" xfId="2191"/>
    <cellStyle name="40% - Accent5 2 3 3" xfId="2192"/>
    <cellStyle name="40% - Accent5 2 4" xfId="2193"/>
    <cellStyle name="40% - Accent5 2 4 2" xfId="2194"/>
    <cellStyle name="40% - Accent5 2 4 3" xfId="2195"/>
    <cellStyle name="40% - Accent5 2 5" xfId="2196"/>
    <cellStyle name="40% - Accent5 2 6" xfId="2197"/>
    <cellStyle name="40% - Accent5 2 7" xfId="2198"/>
    <cellStyle name="40% - Accent5 3" xfId="2199"/>
    <cellStyle name="40% - Accent5 3 2" xfId="2200"/>
    <cellStyle name="40% - Accent5 3 2 2" xfId="2201"/>
    <cellStyle name="40% - Accent5 3 2 3" xfId="2202"/>
    <cellStyle name="40% - Accent5 3 3" xfId="2203"/>
    <cellStyle name="40% - Accent5 3 3 2" xfId="2204"/>
    <cellStyle name="40% - Accent5 3 3 3" xfId="2205"/>
    <cellStyle name="40% - Accent5 3 4" xfId="2206"/>
    <cellStyle name="40% - Accent5 3 4 2" xfId="2207"/>
    <cellStyle name="40% - Accent5 3 4 3" xfId="2208"/>
    <cellStyle name="40% - Accent5 3 5" xfId="2209"/>
    <cellStyle name="40% - Accent5 3 6" xfId="2210"/>
    <cellStyle name="40% - Accent5 3 7" xfId="2211"/>
    <cellStyle name="40% - Accent5 4" xfId="2212"/>
    <cellStyle name="40% - Accent5 4 2" xfId="2213"/>
    <cellStyle name="40% - Accent5 4 2 2" xfId="2214"/>
    <cellStyle name="40% - Accent5 4 2 3" xfId="2215"/>
    <cellStyle name="40% - Accent5 4 3" xfId="2216"/>
    <cellStyle name="40% - Accent5 4 3 2" xfId="2217"/>
    <cellStyle name="40% - Accent5 4 3 3" xfId="2218"/>
    <cellStyle name="40% - Accent5 4 4" xfId="2219"/>
    <cellStyle name="40% - Accent5 4 4 2" xfId="2220"/>
    <cellStyle name="40% - Accent5 4 4 3" xfId="2221"/>
    <cellStyle name="40% - Accent5 4 5" xfId="2222"/>
    <cellStyle name="40% - Accent5 4 6" xfId="2223"/>
    <cellStyle name="40% - Accent5 4 7" xfId="2224"/>
    <cellStyle name="40% - Accent5 5" xfId="2225"/>
    <cellStyle name="40% - Accent5 5 2" xfId="2226"/>
    <cellStyle name="40% - Accent5 5 2 2" xfId="2227"/>
    <cellStyle name="40% - Accent5 5 2 3" xfId="2228"/>
    <cellStyle name="40% - Accent5 5 3" xfId="2229"/>
    <cellStyle name="40% - Accent5 5 3 2" xfId="2230"/>
    <cellStyle name="40% - Accent5 5 3 3" xfId="2231"/>
    <cellStyle name="40% - Accent5 5 4" xfId="2232"/>
    <cellStyle name="40% - Accent5 5 4 2" xfId="2233"/>
    <cellStyle name="40% - Accent5 5 4 3" xfId="2234"/>
    <cellStyle name="40% - Accent5 5 5" xfId="2235"/>
    <cellStyle name="40% - Accent5 5 6" xfId="2236"/>
    <cellStyle name="40% - Accent5 5 7" xfId="2237"/>
    <cellStyle name="40% - Accent5 6" xfId="2238"/>
    <cellStyle name="40% - Accent5 6 2" xfId="2239"/>
    <cellStyle name="40% - Accent5 6 2 2" xfId="2240"/>
    <cellStyle name="40% - Accent5 6 2 3" xfId="2241"/>
    <cellStyle name="40% - Accent5 6 3" xfId="2242"/>
    <cellStyle name="40% - Accent5 6 3 2" xfId="2243"/>
    <cellStyle name="40% - Accent5 6 3 3" xfId="2244"/>
    <cellStyle name="40% - Accent5 6 4" xfId="2245"/>
    <cellStyle name="40% - Accent5 6 4 2" xfId="2246"/>
    <cellStyle name="40% - Accent5 6 4 3" xfId="2247"/>
    <cellStyle name="40% - Accent5 6 5" xfId="2248"/>
    <cellStyle name="40% - Accent5 6 6" xfId="2249"/>
    <cellStyle name="40% - Accent5 6 7" xfId="2250"/>
    <cellStyle name="40% - Accent5 7" xfId="2251"/>
    <cellStyle name="40% - Accent5 7 2" xfId="2252"/>
    <cellStyle name="40% - Accent5 7 2 2" xfId="2253"/>
    <cellStyle name="40% - Accent5 7 2 3" xfId="2254"/>
    <cellStyle name="40% - Accent5 7 3" xfId="2255"/>
    <cellStyle name="40% - Accent5 7 3 2" xfId="2256"/>
    <cellStyle name="40% - Accent5 7 3 3" xfId="2257"/>
    <cellStyle name="40% - Accent5 7 4" xfId="2258"/>
    <cellStyle name="40% - Accent5 7 4 2" xfId="2259"/>
    <cellStyle name="40% - Accent5 7 4 3" xfId="2260"/>
    <cellStyle name="40% - Accent5 7 5" xfId="2261"/>
    <cellStyle name="40% - Accent5 7 6" xfId="2262"/>
    <cellStyle name="40% - Accent5 7 7" xfId="2263"/>
    <cellStyle name="40% - Accent5 8" xfId="2264"/>
    <cellStyle name="40% - Accent5 8 2" xfId="2265"/>
    <cellStyle name="40% - Accent5 8 2 2" xfId="2266"/>
    <cellStyle name="40% - Accent5 8 2 3" xfId="2267"/>
    <cellStyle name="40% - Accent5 8 3" xfId="2268"/>
    <cellStyle name="40% - Accent5 8 3 2" xfId="2269"/>
    <cellStyle name="40% - Accent5 8 3 3" xfId="2270"/>
    <cellStyle name="40% - Accent5 8 4" xfId="2271"/>
    <cellStyle name="40% - Accent5 8 4 2" xfId="2272"/>
    <cellStyle name="40% - Accent5 8 4 3" xfId="2273"/>
    <cellStyle name="40% - Accent5 8 5" xfId="2274"/>
    <cellStyle name="40% - Accent5 8 6" xfId="2275"/>
    <cellStyle name="40% - Accent5 8 7" xfId="2276"/>
    <cellStyle name="40% - Accent5 9" xfId="2277"/>
    <cellStyle name="40% - Accent5 9 2" xfId="2278"/>
    <cellStyle name="40% - Accent5 9 2 2" xfId="2279"/>
    <cellStyle name="40% - Accent5 9 2 3" xfId="2280"/>
    <cellStyle name="40% - Accent5 9 3" xfId="2281"/>
    <cellStyle name="40% - Accent5 9 3 2" xfId="2282"/>
    <cellStyle name="40% - Accent5 9 3 3" xfId="2283"/>
    <cellStyle name="40% - Accent5 9 4" xfId="2284"/>
    <cellStyle name="40% - Accent5 9 4 2" xfId="2285"/>
    <cellStyle name="40% - Accent5 9 4 3" xfId="2286"/>
    <cellStyle name="40% - Accent5 9 5" xfId="2287"/>
    <cellStyle name="40% - Accent5 9 6" xfId="2288"/>
    <cellStyle name="40% - Accent5 9 7" xfId="2289"/>
    <cellStyle name="40% - Accent6" xfId="3204" builtinId="51" customBuiltin="1"/>
    <cellStyle name="40% - Accent6 10" xfId="2290"/>
    <cellStyle name="40% - Accent6 10 2" xfId="2291"/>
    <cellStyle name="40% - Accent6 10 2 2" xfId="2292"/>
    <cellStyle name="40% - Accent6 10 2 3" xfId="2293"/>
    <cellStyle name="40% - Accent6 10 3" xfId="2294"/>
    <cellStyle name="40% - Accent6 10 3 2" xfId="2295"/>
    <cellStyle name="40% - Accent6 10 3 3" xfId="2296"/>
    <cellStyle name="40% - Accent6 10 4" xfId="2297"/>
    <cellStyle name="40% - Accent6 10 4 2" xfId="2298"/>
    <cellStyle name="40% - Accent6 10 4 3" xfId="2299"/>
    <cellStyle name="40% - Accent6 10 5" xfId="2300"/>
    <cellStyle name="40% - Accent6 10 6" xfId="2301"/>
    <cellStyle name="40% - Accent6 10 7" xfId="2302"/>
    <cellStyle name="40% - Accent6 11" xfId="2303"/>
    <cellStyle name="40% - Accent6 11 2" xfId="2304"/>
    <cellStyle name="40% - Accent6 11 2 2" xfId="2305"/>
    <cellStyle name="40% - Accent6 11 2 3" xfId="2306"/>
    <cellStyle name="40% - Accent6 11 3" xfId="2307"/>
    <cellStyle name="40% - Accent6 11 3 2" xfId="2308"/>
    <cellStyle name="40% - Accent6 11 3 3" xfId="2309"/>
    <cellStyle name="40% - Accent6 11 4" xfId="2310"/>
    <cellStyle name="40% - Accent6 11 4 2" xfId="2311"/>
    <cellStyle name="40% - Accent6 11 4 3" xfId="2312"/>
    <cellStyle name="40% - Accent6 11 5" xfId="2313"/>
    <cellStyle name="40% - Accent6 11 6" xfId="2314"/>
    <cellStyle name="40% - Accent6 11 7" xfId="2315"/>
    <cellStyle name="40% - Accent6 12" xfId="2316"/>
    <cellStyle name="40% - Accent6 12 2" xfId="2317"/>
    <cellStyle name="40% - Accent6 12 2 2" xfId="2318"/>
    <cellStyle name="40% - Accent6 12 2 3" xfId="2319"/>
    <cellStyle name="40% - Accent6 12 3" xfId="2320"/>
    <cellStyle name="40% - Accent6 12 3 2" xfId="2321"/>
    <cellStyle name="40% - Accent6 12 3 3" xfId="2322"/>
    <cellStyle name="40% - Accent6 12 4" xfId="2323"/>
    <cellStyle name="40% - Accent6 12 4 2" xfId="2324"/>
    <cellStyle name="40% - Accent6 12 4 3" xfId="2325"/>
    <cellStyle name="40% - Accent6 12 5" xfId="2326"/>
    <cellStyle name="40% - Accent6 12 6" xfId="2327"/>
    <cellStyle name="40% - Accent6 12 7" xfId="2328"/>
    <cellStyle name="40% - Accent6 13" xfId="2329"/>
    <cellStyle name="40% - Accent6 13 2" xfId="2330"/>
    <cellStyle name="40% - Accent6 13 2 2" xfId="2331"/>
    <cellStyle name="40% - Accent6 13 2 3" xfId="2332"/>
    <cellStyle name="40% - Accent6 13 3" xfId="2333"/>
    <cellStyle name="40% - Accent6 13 3 2" xfId="2334"/>
    <cellStyle name="40% - Accent6 13 3 3" xfId="2335"/>
    <cellStyle name="40% - Accent6 13 4" xfId="2336"/>
    <cellStyle name="40% - Accent6 13 4 2" xfId="2337"/>
    <cellStyle name="40% - Accent6 13 4 3" xfId="2338"/>
    <cellStyle name="40% - Accent6 13 5" xfId="2339"/>
    <cellStyle name="40% - Accent6 13 6" xfId="2340"/>
    <cellStyle name="40% - Accent6 13 7" xfId="2341"/>
    <cellStyle name="40% - Accent6 14" xfId="2342"/>
    <cellStyle name="40% - Accent6 14 2" xfId="2343"/>
    <cellStyle name="40% - Accent6 14 2 2" xfId="2344"/>
    <cellStyle name="40% - Accent6 14 2 3" xfId="2345"/>
    <cellStyle name="40% - Accent6 14 3" xfId="2346"/>
    <cellStyle name="40% - Accent6 14 3 2" xfId="2347"/>
    <cellStyle name="40% - Accent6 14 3 3" xfId="2348"/>
    <cellStyle name="40% - Accent6 14 4" xfId="2349"/>
    <cellStyle name="40% - Accent6 14 4 2" xfId="2350"/>
    <cellStyle name="40% - Accent6 14 4 3" xfId="2351"/>
    <cellStyle name="40% - Accent6 14 5" xfId="2352"/>
    <cellStyle name="40% - Accent6 14 6" xfId="2353"/>
    <cellStyle name="40% - Accent6 14 7" xfId="2354"/>
    <cellStyle name="40% - Accent6 15" xfId="2355"/>
    <cellStyle name="40% - Accent6 15 2" xfId="2356"/>
    <cellStyle name="40% - Accent6 15 2 2" xfId="2357"/>
    <cellStyle name="40% - Accent6 15 2 3" xfId="2358"/>
    <cellStyle name="40% - Accent6 15 3" xfId="2359"/>
    <cellStyle name="40% - Accent6 15 3 2" xfId="2360"/>
    <cellStyle name="40% - Accent6 15 3 3" xfId="2361"/>
    <cellStyle name="40% - Accent6 15 4" xfId="2362"/>
    <cellStyle name="40% - Accent6 15 4 2" xfId="2363"/>
    <cellStyle name="40% - Accent6 15 4 3" xfId="2364"/>
    <cellStyle name="40% - Accent6 15 5" xfId="2365"/>
    <cellStyle name="40% - Accent6 15 6" xfId="2366"/>
    <cellStyle name="40% - Accent6 15 7" xfId="2367"/>
    <cellStyle name="40% - Accent6 16" xfId="2368"/>
    <cellStyle name="40% - Accent6 16 2" xfId="2369"/>
    <cellStyle name="40% - Accent6 16 2 2" xfId="2370"/>
    <cellStyle name="40% - Accent6 16 2 3" xfId="2371"/>
    <cellStyle name="40% - Accent6 16 3" xfId="2372"/>
    <cellStyle name="40% - Accent6 16 3 2" xfId="2373"/>
    <cellStyle name="40% - Accent6 16 3 3" xfId="2374"/>
    <cellStyle name="40% - Accent6 16 4" xfId="2375"/>
    <cellStyle name="40% - Accent6 16 4 2" xfId="2376"/>
    <cellStyle name="40% - Accent6 16 4 3" xfId="2377"/>
    <cellStyle name="40% - Accent6 16 5" xfId="2378"/>
    <cellStyle name="40% - Accent6 16 6" xfId="2379"/>
    <cellStyle name="40% - Accent6 16 7" xfId="2380"/>
    <cellStyle name="40% - Accent6 17" xfId="2381"/>
    <cellStyle name="40% - Accent6 17 2" xfId="2382"/>
    <cellStyle name="40% - Accent6 17 2 2" xfId="2383"/>
    <cellStyle name="40% - Accent6 17 2 3" xfId="2384"/>
    <cellStyle name="40% - Accent6 17 3" xfId="2385"/>
    <cellStyle name="40% - Accent6 17 3 2" xfId="2386"/>
    <cellStyle name="40% - Accent6 17 3 3" xfId="2387"/>
    <cellStyle name="40% - Accent6 17 4" xfId="2388"/>
    <cellStyle name="40% - Accent6 17 4 2" xfId="2389"/>
    <cellStyle name="40% - Accent6 17 4 3" xfId="2390"/>
    <cellStyle name="40% - Accent6 17 5" xfId="2391"/>
    <cellStyle name="40% - Accent6 17 6" xfId="2392"/>
    <cellStyle name="40% - Accent6 17 7" xfId="2393"/>
    <cellStyle name="40% - Accent6 2" xfId="2394"/>
    <cellStyle name="40% - Accent6 2 2" xfId="2395"/>
    <cellStyle name="40% - Accent6 2 2 2" xfId="2396"/>
    <cellStyle name="40% - Accent6 2 2 3" xfId="2397"/>
    <cellStyle name="40% - Accent6 2 3" xfId="2398"/>
    <cellStyle name="40% - Accent6 2 3 2" xfId="2399"/>
    <cellStyle name="40% - Accent6 2 3 3" xfId="2400"/>
    <cellStyle name="40% - Accent6 2 4" xfId="2401"/>
    <cellStyle name="40% - Accent6 2 4 2" xfId="2402"/>
    <cellStyle name="40% - Accent6 2 4 3" xfId="2403"/>
    <cellStyle name="40% - Accent6 2 5" xfId="2404"/>
    <cellStyle name="40% - Accent6 2 6" xfId="2405"/>
    <cellStyle name="40% - Accent6 2 7" xfId="2406"/>
    <cellStyle name="40% - Accent6 3" xfId="2407"/>
    <cellStyle name="40% - Accent6 3 2" xfId="2408"/>
    <cellStyle name="40% - Accent6 3 2 2" xfId="2409"/>
    <cellStyle name="40% - Accent6 3 2 3" xfId="2410"/>
    <cellStyle name="40% - Accent6 3 3" xfId="2411"/>
    <cellStyle name="40% - Accent6 3 3 2" xfId="2412"/>
    <cellStyle name="40% - Accent6 3 3 3" xfId="2413"/>
    <cellStyle name="40% - Accent6 3 4" xfId="2414"/>
    <cellStyle name="40% - Accent6 3 4 2" xfId="2415"/>
    <cellStyle name="40% - Accent6 3 4 3" xfId="2416"/>
    <cellStyle name="40% - Accent6 3 5" xfId="2417"/>
    <cellStyle name="40% - Accent6 3 6" xfId="2418"/>
    <cellStyle name="40% - Accent6 3 7" xfId="2419"/>
    <cellStyle name="40% - Accent6 4" xfId="2420"/>
    <cellStyle name="40% - Accent6 4 2" xfId="2421"/>
    <cellStyle name="40% - Accent6 4 2 2" xfId="2422"/>
    <cellStyle name="40% - Accent6 4 2 3" xfId="2423"/>
    <cellStyle name="40% - Accent6 4 3" xfId="2424"/>
    <cellStyle name="40% - Accent6 4 3 2" xfId="2425"/>
    <cellStyle name="40% - Accent6 4 3 3" xfId="2426"/>
    <cellStyle name="40% - Accent6 4 4" xfId="2427"/>
    <cellStyle name="40% - Accent6 4 4 2" xfId="2428"/>
    <cellStyle name="40% - Accent6 4 4 3" xfId="2429"/>
    <cellStyle name="40% - Accent6 4 5" xfId="2430"/>
    <cellStyle name="40% - Accent6 4 6" xfId="2431"/>
    <cellStyle name="40% - Accent6 4 7" xfId="2432"/>
    <cellStyle name="40% - Accent6 5" xfId="2433"/>
    <cellStyle name="40% - Accent6 5 2" xfId="2434"/>
    <cellStyle name="40% - Accent6 5 2 2" xfId="2435"/>
    <cellStyle name="40% - Accent6 5 2 3" xfId="2436"/>
    <cellStyle name="40% - Accent6 5 3" xfId="2437"/>
    <cellStyle name="40% - Accent6 5 3 2" xfId="2438"/>
    <cellStyle name="40% - Accent6 5 3 3" xfId="2439"/>
    <cellStyle name="40% - Accent6 5 4" xfId="2440"/>
    <cellStyle name="40% - Accent6 5 4 2" xfId="2441"/>
    <cellStyle name="40% - Accent6 5 4 3" xfId="2442"/>
    <cellStyle name="40% - Accent6 5 5" xfId="2443"/>
    <cellStyle name="40% - Accent6 5 6" xfId="2444"/>
    <cellStyle name="40% - Accent6 5 7" xfId="2445"/>
    <cellStyle name="40% - Accent6 6" xfId="2446"/>
    <cellStyle name="40% - Accent6 6 2" xfId="2447"/>
    <cellStyle name="40% - Accent6 6 2 2" xfId="2448"/>
    <cellStyle name="40% - Accent6 6 2 3" xfId="2449"/>
    <cellStyle name="40% - Accent6 6 3" xfId="2450"/>
    <cellStyle name="40% - Accent6 6 3 2" xfId="2451"/>
    <cellStyle name="40% - Accent6 6 3 3" xfId="2452"/>
    <cellStyle name="40% - Accent6 6 4" xfId="2453"/>
    <cellStyle name="40% - Accent6 6 4 2" xfId="2454"/>
    <cellStyle name="40% - Accent6 6 4 3" xfId="2455"/>
    <cellStyle name="40% - Accent6 6 5" xfId="2456"/>
    <cellStyle name="40% - Accent6 6 6" xfId="2457"/>
    <cellStyle name="40% - Accent6 6 7" xfId="2458"/>
    <cellStyle name="40% - Accent6 7" xfId="2459"/>
    <cellStyle name="40% - Accent6 7 2" xfId="2460"/>
    <cellStyle name="40% - Accent6 7 2 2" xfId="2461"/>
    <cellStyle name="40% - Accent6 7 2 3" xfId="2462"/>
    <cellStyle name="40% - Accent6 7 3" xfId="2463"/>
    <cellStyle name="40% - Accent6 7 3 2" xfId="2464"/>
    <cellStyle name="40% - Accent6 7 3 3" xfId="2465"/>
    <cellStyle name="40% - Accent6 7 4" xfId="2466"/>
    <cellStyle name="40% - Accent6 7 4 2" xfId="2467"/>
    <cellStyle name="40% - Accent6 7 4 3" xfId="2468"/>
    <cellStyle name="40% - Accent6 7 5" xfId="2469"/>
    <cellStyle name="40% - Accent6 7 6" xfId="2470"/>
    <cellStyle name="40% - Accent6 7 7" xfId="2471"/>
    <cellStyle name="40% - Accent6 8" xfId="2472"/>
    <cellStyle name="40% - Accent6 8 2" xfId="2473"/>
    <cellStyle name="40% - Accent6 8 2 2" xfId="2474"/>
    <cellStyle name="40% - Accent6 8 2 3" xfId="2475"/>
    <cellStyle name="40% - Accent6 8 3" xfId="2476"/>
    <cellStyle name="40% - Accent6 8 3 2" xfId="2477"/>
    <cellStyle name="40% - Accent6 8 3 3" xfId="2478"/>
    <cellStyle name="40% - Accent6 8 4" xfId="2479"/>
    <cellStyle name="40% - Accent6 8 4 2" xfId="2480"/>
    <cellStyle name="40% - Accent6 8 4 3" xfId="2481"/>
    <cellStyle name="40% - Accent6 8 5" xfId="2482"/>
    <cellStyle name="40% - Accent6 8 6" xfId="2483"/>
    <cellStyle name="40% - Accent6 8 7" xfId="2484"/>
    <cellStyle name="40% - Accent6 9" xfId="2485"/>
    <cellStyle name="40% - Accent6 9 2" xfId="2486"/>
    <cellStyle name="40% - Accent6 9 2 2" xfId="2487"/>
    <cellStyle name="40% - Accent6 9 2 3" xfId="2488"/>
    <cellStyle name="40% - Accent6 9 3" xfId="2489"/>
    <cellStyle name="40% - Accent6 9 3 2" xfId="2490"/>
    <cellStyle name="40% - Accent6 9 3 3" xfId="2491"/>
    <cellStyle name="40% - Accent6 9 4" xfId="2492"/>
    <cellStyle name="40% - Accent6 9 4 2" xfId="2493"/>
    <cellStyle name="40% - Accent6 9 4 3" xfId="2494"/>
    <cellStyle name="40% - Accent6 9 5" xfId="2495"/>
    <cellStyle name="40% - Accent6 9 6" xfId="2496"/>
    <cellStyle name="40% - Accent6 9 7" xfId="2497"/>
    <cellStyle name="60% - Accent1" xfId="3185" builtinId="32" customBuiltin="1"/>
    <cellStyle name="60% - Accent1 10" xfId="2498"/>
    <cellStyle name="60% - Accent1 11" xfId="2499"/>
    <cellStyle name="60% - Accent1 12" xfId="2500"/>
    <cellStyle name="60% - Accent1 13" xfId="2501"/>
    <cellStyle name="60% - Accent1 14" xfId="2502"/>
    <cellStyle name="60% - Accent1 15" xfId="2503"/>
    <cellStyle name="60% - Accent1 16" xfId="2504"/>
    <cellStyle name="60% - Accent1 17" xfId="2505"/>
    <cellStyle name="60% - Accent1 2" xfId="2506"/>
    <cellStyle name="60% - Accent1 3" xfId="2507"/>
    <cellStyle name="60% - Accent1 4" xfId="2508"/>
    <cellStyle name="60% - Accent1 5" xfId="2509"/>
    <cellStyle name="60% - Accent1 6" xfId="2510"/>
    <cellStyle name="60% - Accent1 7" xfId="2511"/>
    <cellStyle name="60% - Accent1 8" xfId="2512"/>
    <cellStyle name="60% - Accent1 9" xfId="2513"/>
    <cellStyle name="60% - Accent2" xfId="3189" builtinId="36" customBuiltin="1"/>
    <cellStyle name="60% - Accent2 10" xfId="2514"/>
    <cellStyle name="60% - Accent2 11" xfId="2515"/>
    <cellStyle name="60% - Accent2 12" xfId="2516"/>
    <cellStyle name="60% - Accent2 13" xfId="2517"/>
    <cellStyle name="60% - Accent2 14" xfId="2518"/>
    <cellStyle name="60% - Accent2 15" xfId="2519"/>
    <cellStyle name="60% - Accent2 16" xfId="2520"/>
    <cellStyle name="60% - Accent2 17" xfId="2521"/>
    <cellStyle name="60% - Accent2 2" xfId="2522"/>
    <cellStyle name="60% - Accent2 3" xfId="2523"/>
    <cellStyle name="60% - Accent2 4" xfId="2524"/>
    <cellStyle name="60% - Accent2 5" xfId="2525"/>
    <cellStyle name="60% - Accent2 6" xfId="2526"/>
    <cellStyle name="60% - Accent2 7" xfId="2527"/>
    <cellStyle name="60% - Accent2 8" xfId="2528"/>
    <cellStyle name="60% - Accent2 9" xfId="2529"/>
    <cellStyle name="60% - Accent3" xfId="3193" builtinId="40" customBuiltin="1"/>
    <cellStyle name="60% - Accent3 10" xfId="2530"/>
    <cellStyle name="60% - Accent3 11" xfId="2531"/>
    <cellStyle name="60% - Accent3 12" xfId="2532"/>
    <cellStyle name="60% - Accent3 13" xfId="2533"/>
    <cellStyle name="60% - Accent3 14" xfId="2534"/>
    <cellStyle name="60% - Accent3 15" xfId="2535"/>
    <cellStyle name="60% - Accent3 16" xfId="2536"/>
    <cellStyle name="60% - Accent3 17" xfId="2537"/>
    <cellStyle name="60% - Accent3 2" xfId="2538"/>
    <cellStyle name="60% - Accent3 3" xfId="2539"/>
    <cellStyle name="60% - Accent3 4" xfId="2540"/>
    <cellStyle name="60% - Accent3 5" xfId="2541"/>
    <cellStyle name="60% - Accent3 6" xfId="2542"/>
    <cellStyle name="60% - Accent3 7" xfId="2543"/>
    <cellStyle name="60% - Accent3 8" xfId="2544"/>
    <cellStyle name="60% - Accent3 9" xfId="2545"/>
    <cellStyle name="60% - Accent4" xfId="3197" builtinId="44" customBuiltin="1"/>
    <cellStyle name="60% - Accent4 10" xfId="2546"/>
    <cellStyle name="60% - Accent4 11" xfId="2547"/>
    <cellStyle name="60% - Accent4 12" xfId="2548"/>
    <cellStyle name="60% - Accent4 13" xfId="2549"/>
    <cellStyle name="60% - Accent4 14" xfId="2550"/>
    <cellStyle name="60% - Accent4 15" xfId="2551"/>
    <cellStyle name="60% - Accent4 16" xfId="2552"/>
    <cellStyle name="60% - Accent4 17" xfId="2553"/>
    <cellStyle name="60% - Accent4 2" xfId="2554"/>
    <cellStyle name="60% - Accent4 3" xfId="2555"/>
    <cellStyle name="60% - Accent4 4" xfId="2556"/>
    <cellStyle name="60% - Accent4 5" xfId="2557"/>
    <cellStyle name="60% - Accent4 6" xfId="2558"/>
    <cellStyle name="60% - Accent4 7" xfId="2559"/>
    <cellStyle name="60% - Accent4 8" xfId="2560"/>
    <cellStyle name="60% - Accent4 9" xfId="2561"/>
    <cellStyle name="60% - Accent5" xfId="3201" builtinId="48" customBuiltin="1"/>
    <cellStyle name="60% - Accent5 10" xfId="2562"/>
    <cellStyle name="60% - Accent5 11" xfId="2563"/>
    <cellStyle name="60% - Accent5 12" xfId="2564"/>
    <cellStyle name="60% - Accent5 13" xfId="2565"/>
    <cellStyle name="60% - Accent5 14" xfId="2566"/>
    <cellStyle name="60% - Accent5 15" xfId="2567"/>
    <cellStyle name="60% - Accent5 16" xfId="2568"/>
    <cellStyle name="60% - Accent5 17" xfId="2569"/>
    <cellStyle name="60% - Accent5 2" xfId="2570"/>
    <cellStyle name="60% - Accent5 3" xfId="2571"/>
    <cellStyle name="60% - Accent5 4" xfId="2572"/>
    <cellStyle name="60% - Accent5 5" xfId="2573"/>
    <cellStyle name="60% - Accent5 6" xfId="2574"/>
    <cellStyle name="60% - Accent5 7" xfId="2575"/>
    <cellStyle name="60% - Accent5 8" xfId="2576"/>
    <cellStyle name="60% - Accent5 9" xfId="2577"/>
    <cellStyle name="60% - Accent6" xfId="3205" builtinId="52" customBuiltin="1"/>
    <cellStyle name="60% - Accent6 10" xfId="2578"/>
    <cellStyle name="60% - Accent6 11" xfId="2579"/>
    <cellStyle name="60% - Accent6 12" xfId="2580"/>
    <cellStyle name="60% - Accent6 13" xfId="2581"/>
    <cellStyle name="60% - Accent6 14" xfId="2582"/>
    <cellStyle name="60% - Accent6 15" xfId="2583"/>
    <cellStyle name="60% - Accent6 16" xfId="2584"/>
    <cellStyle name="60% - Accent6 17" xfId="2585"/>
    <cellStyle name="60% - Accent6 2" xfId="2586"/>
    <cellStyle name="60% - Accent6 3" xfId="2587"/>
    <cellStyle name="60% - Accent6 4" xfId="2588"/>
    <cellStyle name="60% - Accent6 5" xfId="2589"/>
    <cellStyle name="60% - Accent6 6" xfId="2590"/>
    <cellStyle name="60% - Accent6 7" xfId="2591"/>
    <cellStyle name="60% - Accent6 8" xfId="2592"/>
    <cellStyle name="60% - Accent6 9" xfId="2593"/>
    <cellStyle name="Accent1" xfId="3182" builtinId="29" customBuiltin="1"/>
    <cellStyle name="Accent1 10" xfId="2594"/>
    <cellStyle name="Accent1 11" xfId="2595"/>
    <cellStyle name="Accent1 12" xfId="2596"/>
    <cellStyle name="Accent1 13" xfId="2597"/>
    <cellStyle name="Accent1 14" xfId="2598"/>
    <cellStyle name="Accent1 15" xfId="2599"/>
    <cellStyle name="Accent1 16" xfId="2600"/>
    <cellStyle name="Accent1 17" xfId="2601"/>
    <cellStyle name="Accent1 2" xfId="2602"/>
    <cellStyle name="Accent1 3" xfId="2603"/>
    <cellStyle name="Accent1 4" xfId="2604"/>
    <cellStyle name="Accent1 5" xfId="2605"/>
    <cellStyle name="Accent1 6" xfId="2606"/>
    <cellStyle name="Accent1 7" xfId="2607"/>
    <cellStyle name="Accent1 8" xfId="2608"/>
    <cellStyle name="Accent1 9" xfId="2609"/>
    <cellStyle name="Accent2" xfId="3186" builtinId="33" customBuiltin="1"/>
    <cellStyle name="Accent2 10" xfId="2610"/>
    <cellStyle name="Accent2 11" xfId="2611"/>
    <cellStyle name="Accent2 12" xfId="2612"/>
    <cellStyle name="Accent2 13" xfId="2613"/>
    <cellStyle name="Accent2 14" xfId="2614"/>
    <cellStyle name="Accent2 15" xfId="2615"/>
    <cellStyle name="Accent2 16" xfId="2616"/>
    <cellStyle name="Accent2 17" xfId="2617"/>
    <cellStyle name="Accent2 2" xfId="2618"/>
    <cellStyle name="Accent2 3" xfId="2619"/>
    <cellStyle name="Accent2 4" xfId="2620"/>
    <cellStyle name="Accent2 5" xfId="2621"/>
    <cellStyle name="Accent2 6" xfId="2622"/>
    <cellStyle name="Accent2 7" xfId="2623"/>
    <cellStyle name="Accent2 8" xfId="2624"/>
    <cellStyle name="Accent2 9" xfId="2625"/>
    <cellStyle name="Accent3" xfId="3190" builtinId="37" customBuiltin="1"/>
    <cellStyle name="Accent3 10" xfId="2626"/>
    <cellStyle name="Accent3 11" xfId="2627"/>
    <cellStyle name="Accent3 12" xfId="2628"/>
    <cellStyle name="Accent3 13" xfId="2629"/>
    <cellStyle name="Accent3 14" xfId="2630"/>
    <cellStyle name="Accent3 15" xfId="2631"/>
    <cellStyle name="Accent3 16" xfId="2632"/>
    <cellStyle name="Accent3 17" xfId="2633"/>
    <cellStyle name="Accent3 2" xfId="2634"/>
    <cellStyle name="Accent3 3" xfId="2635"/>
    <cellStyle name="Accent3 4" xfId="2636"/>
    <cellStyle name="Accent3 5" xfId="2637"/>
    <cellStyle name="Accent3 6" xfId="2638"/>
    <cellStyle name="Accent3 7" xfId="2639"/>
    <cellStyle name="Accent3 8" xfId="2640"/>
    <cellStyle name="Accent3 9" xfId="2641"/>
    <cellStyle name="Accent4" xfId="3194" builtinId="41" customBuiltin="1"/>
    <cellStyle name="Accent4 10" xfId="2642"/>
    <cellStyle name="Accent4 11" xfId="2643"/>
    <cellStyle name="Accent4 12" xfId="2644"/>
    <cellStyle name="Accent4 13" xfId="2645"/>
    <cellStyle name="Accent4 14" xfId="2646"/>
    <cellStyle name="Accent4 15" xfId="2647"/>
    <cellStyle name="Accent4 16" xfId="2648"/>
    <cellStyle name="Accent4 17" xfId="2649"/>
    <cellStyle name="Accent4 2" xfId="2650"/>
    <cellStyle name="Accent4 3" xfId="2651"/>
    <cellStyle name="Accent4 4" xfId="2652"/>
    <cellStyle name="Accent4 5" xfId="2653"/>
    <cellStyle name="Accent4 6" xfId="2654"/>
    <cellStyle name="Accent4 7" xfId="2655"/>
    <cellStyle name="Accent4 8" xfId="2656"/>
    <cellStyle name="Accent4 9" xfId="2657"/>
    <cellStyle name="Accent5" xfId="3198" builtinId="45" customBuiltin="1"/>
    <cellStyle name="Accent5 10" xfId="2658"/>
    <cellStyle name="Accent5 11" xfId="2659"/>
    <cellStyle name="Accent5 12" xfId="2660"/>
    <cellStyle name="Accent5 13" xfId="2661"/>
    <cellStyle name="Accent5 14" xfId="2662"/>
    <cellStyle name="Accent5 15" xfId="2663"/>
    <cellStyle name="Accent5 16" xfId="2664"/>
    <cellStyle name="Accent5 17" xfId="2665"/>
    <cellStyle name="Accent5 2" xfId="2666"/>
    <cellStyle name="Accent5 3" xfId="2667"/>
    <cellStyle name="Accent5 4" xfId="2668"/>
    <cellStyle name="Accent5 5" xfId="2669"/>
    <cellStyle name="Accent5 6" xfId="2670"/>
    <cellStyle name="Accent5 7" xfId="2671"/>
    <cellStyle name="Accent5 8" xfId="2672"/>
    <cellStyle name="Accent5 9" xfId="2673"/>
    <cellStyle name="Accent6" xfId="3202" builtinId="49" customBuiltin="1"/>
    <cellStyle name="Accent6 10" xfId="2674"/>
    <cellStyle name="Accent6 11" xfId="2675"/>
    <cellStyle name="Accent6 12" xfId="2676"/>
    <cellStyle name="Accent6 13" xfId="2677"/>
    <cellStyle name="Accent6 14" xfId="2678"/>
    <cellStyle name="Accent6 15" xfId="2679"/>
    <cellStyle name="Accent6 16" xfId="2680"/>
    <cellStyle name="Accent6 17" xfId="2681"/>
    <cellStyle name="Accent6 2" xfId="2682"/>
    <cellStyle name="Accent6 3" xfId="2683"/>
    <cellStyle name="Accent6 4" xfId="2684"/>
    <cellStyle name="Accent6 5" xfId="2685"/>
    <cellStyle name="Accent6 6" xfId="2686"/>
    <cellStyle name="Accent6 7" xfId="2687"/>
    <cellStyle name="Accent6 8" xfId="2688"/>
    <cellStyle name="Accent6 9" xfId="2689"/>
    <cellStyle name="Bad" xfId="3171" builtinId="27" customBuiltin="1"/>
    <cellStyle name="Bad 10" xfId="2690"/>
    <cellStyle name="Bad 11" xfId="2691"/>
    <cellStyle name="Bad 12" xfId="2692"/>
    <cellStyle name="Bad 13" xfId="2693"/>
    <cellStyle name="Bad 14" xfId="2694"/>
    <cellStyle name="Bad 15" xfId="2695"/>
    <cellStyle name="Bad 16" xfId="2696"/>
    <cellStyle name="Bad 17" xfId="2697"/>
    <cellStyle name="Bad 2" xfId="2698"/>
    <cellStyle name="Bad 3" xfId="2699"/>
    <cellStyle name="Bad 4" xfId="2700"/>
    <cellStyle name="Bad 5" xfId="2701"/>
    <cellStyle name="Bad 6" xfId="2702"/>
    <cellStyle name="Bad 7" xfId="2703"/>
    <cellStyle name="Bad 8" xfId="2704"/>
    <cellStyle name="Bad 9" xfId="2705"/>
    <cellStyle name="Calculation" xfId="3175" builtinId="22" customBuiltin="1"/>
    <cellStyle name="Calculation 10" xfId="2706"/>
    <cellStyle name="Calculation 11" xfId="2707"/>
    <cellStyle name="Calculation 12" xfId="2708"/>
    <cellStyle name="Calculation 13" xfId="2709"/>
    <cellStyle name="Calculation 14" xfId="2710"/>
    <cellStyle name="Calculation 15" xfId="2711"/>
    <cellStyle name="Calculation 16" xfId="2712"/>
    <cellStyle name="Calculation 17" xfId="2713"/>
    <cellStyle name="Calculation 2" xfId="2714"/>
    <cellStyle name="Calculation 3" xfId="2715"/>
    <cellStyle name="Calculation 4" xfId="2716"/>
    <cellStyle name="Calculation 5" xfId="2717"/>
    <cellStyle name="Calculation 6" xfId="2718"/>
    <cellStyle name="Calculation 7" xfId="2719"/>
    <cellStyle name="Calculation 8" xfId="2720"/>
    <cellStyle name="Calculation 9" xfId="2721"/>
    <cellStyle name="Check Cell" xfId="3177" builtinId="23" customBuiltin="1"/>
    <cellStyle name="Check Cell 10" xfId="2722"/>
    <cellStyle name="Check Cell 11" xfId="2723"/>
    <cellStyle name="Check Cell 12" xfId="2724"/>
    <cellStyle name="Check Cell 13" xfId="2725"/>
    <cellStyle name="Check Cell 14" xfId="2726"/>
    <cellStyle name="Check Cell 15" xfId="2727"/>
    <cellStyle name="Check Cell 16" xfId="2728"/>
    <cellStyle name="Check Cell 17" xfId="2729"/>
    <cellStyle name="Check Cell 2" xfId="2730"/>
    <cellStyle name="Check Cell 3" xfId="2731"/>
    <cellStyle name="Check Cell 4" xfId="2732"/>
    <cellStyle name="Check Cell 5" xfId="2733"/>
    <cellStyle name="Check Cell 6" xfId="2734"/>
    <cellStyle name="Check Cell 7" xfId="2735"/>
    <cellStyle name="Check Cell 8" xfId="2736"/>
    <cellStyle name="Check Cell 9" xfId="2737"/>
    <cellStyle name="Comma 2" xfId="3206"/>
    <cellStyle name="Explanatory Text" xfId="3180" builtinId="53" customBuiltin="1"/>
    <cellStyle name="Explanatory Text 10" xfId="2738"/>
    <cellStyle name="Explanatory Text 11" xfId="2739"/>
    <cellStyle name="Explanatory Text 12" xfId="2740"/>
    <cellStyle name="Explanatory Text 13" xfId="2741"/>
    <cellStyle name="Explanatory Text 14" xfId="2742"/>
    <cellStyle name="Explanatory Text 15" xfId="2743"/>
    <cellStyle name="Explanatory Text 16" xfId="2744"/>
    <cellStyle name="Explanatory Text 17" xfId="2745"/>
    <cellStyle name="Explanatory Text 2" xfId="2746"/>
    <cellStyle name="Explanatory Text 3" xfId="2747"/>
    <cellStyle name="Explanatory Text 4" xfId="2748"/>
    <cellStyle name="Explanatory Text 5" xfId="2749"/>
    <cellStyle name="Explanatory Text 6" xfId="2750"/>
    <cellStyle name="Explanatory Text 7" xfId="2751"/>
    <cellStyle name="Explanatory Text 8" xfId="2752"/>
    <cellStyle name="Explanatory Text 9" xfId="2753"/>
    <cellStyle name="Good" xfId="3170" builtinId="26" customBuiltin="1"/>
    <cellStyle name="Good 10" xfId="2754"/>
    <cellStyle name="Good 11" xfId="2755"/>
    <cellStyle name="Good 12" xfId="2756"/>
    <cellStyle name="Good 13" xfId="2757"/>
    <cellStyle name="Good 14" xfId="2758"/>
    <cellStyle name="Good 15" xfId="2759"/>
    <cellStyle name="Good 16" xfId="2760"/>
    <cellStyle name="Good 17" xfId="2761"/>
    <cellStyle name="Good 2" xfId="2762"/>
    <cellStyle name="Good 3" xfId="2763"/>
    <cellStyle name="Good 4" xfId="2764"/>
    <cellStyle name="Good 5" xfId="2765"/>
    <cellStyle name="Good 6" xfId="2766"/>
    <cellStyle name="Good 7" xfId="2767"/>
    <cellStyle name="Good 8" xfId="2768"/>
    <cellStyle name="Good 9" xfId="2769"/>
    <cellStyle name="Heading 1" xfId="3166" builtinId="16" customBuiltin="1"/>
    <cellStyle name="Heading 1 10" xfId="2770"/>
    <cellStyle name="Heading 1 11" xfId="2771"/>
    <cellStyle name="Heading 1 12" xfId="2772"/>
    <cellStyle name="Heading 1 13" xfId="2773"/>
    <cellStyle name="Heading 1 14" xfId="2774"/>
    <cellStyle name="Heading 1 15" xfId="2775"/>
    <cellStyle name="Heading 1 16" xfId="2776"/>
    <cellStyle name="Heading 1 17" xfId="2777"/>
    <cellStyle name="Heading 1 2" xfId="2778"/>
    <cellStyle name="Heading 1 3" xfId="2779"/>
    <cellStyle name="Heading 1 4" xfId="2780"/>
    <cellStyle name="Heading 1 5" xfId="2781"/>
    <cellStyle name="Heading 1 6" xfId="2782"/>
    <cellStyle name="Heading 1 7" xfId="2783"/>
    <cellStyle name="Heading 1 8" xfId="2784"/>
    <cellStyle name="Heading 1 9" xfId="2785"/>
    <cellStyle name="Heading 2" xfId="3167" builtinId="17" customBuiltin="1"/>
    <cellStyle name="Heading 2 10" xfId="2786"/>
    <cellStyle name="Heading 2 11" xfId="2787"/>
    <cellStyle name="Heading 2 12" xfId="2788"/>
    <cellStyle name="Heading 2 13" xfId="2789"/>
    <cellStyle name="Heading 2 14" xfId="2790"/>
    <cellStyle name="Heading 2 15" xfId="2791"/>
    <cellStyle name="Heading 2 16" xfId="2792"/>
    <cellStyle name="Heading 2 17" xfId="2793"/>
    <cellStyle name="Heading 2 2" xfId="2794"/>
    <cellStyle name="Heading 2 3" xfId="2795"/>
    <cellStyle name="Heading 2 4" xfId="2796"/>
    <cellStyle name="Heading 2 5" xfId="2797"/>
    <cellStyle name="Heading 2 6" xfId="2798"/>
    <cellStyle name="Heading 2 7" xfId="2799"/>
    <cellStyle name="Heading 2 8" xfId="2800"/>
    <cellStyle name="Heading 2 9" xfId="2801"/>
    <cellStyle name="Heading 3" xfId="3168" builtinId="18" customBuiltin="1"/>
    <cellStyle name="Heading 3 10" xfId="2802"/>
    <cellStyle name="Heading 3 11" xfId="2803"/>
    <cellStyle name="Heading 3 12" xfId="2804"/>
    <cellStyle name="Heading 3 13" xfId="2805"/>
    <cellStyle name="Heading 3 14" xfId="2806"/>
    <cellStyle name="Heading 3 15" xfId="2807"/>
    <cellStyle name="Heading 3 16" xfId="2808"/>
    <cellStyle name="Heading 3 17" xfId="2809"/>
    <cellStyle name="Heading 3 2" xfId="2810"/>
    <cellStyle name="Heading 3 3" xfId="2811"/>
    <cellStyle name="Heading 3 4" xfId="2812"/>
    <cellStyle name="Heading 3 5" xfId="2813"/>
    <cellStyle name="Heading 3 6" xfId="2814"/>
    <cellStyle name="Heading 3 7" xfId="2815"/>
    <cellStyle name="Heading 3 8" xfId="2816"/>
    <cellStyle name="Heading 3 9" xfId="2817"/>
    <cellStyle name="Heading 4" xfId="3169" builtinId="19" customBuiltin="1"/>
    <cellStyle name="Heading 4 10" xfId="2818"/>
    <cellStyle name="Heading 4 11" xfId="2819"/>
    <cellStyle name="Heading 4 12" xfId="2820"/>
    <cellStyle name="Heading 4 13" xfId="2821"/>
    <cellStyle name="Heading 4 14" xfId="2822"/>
    <cellStyle name="Heading 4 15" xfId="2823"/>
    <cellStyle name="Heading 4 16" xfId="2824"/>
    <cellStyle name="Heading 4 17" xfId="2825"/>
    <cellStyle name="Heading 4 2" xfId="2826"/>
    <cellStyle name="Heading 4 3" xfId="2827"/>
    <cellStyle name="Heading 4 4" xfId="2828"/>
    <cellStyle name="Heading 4 5" xfId="2829"/>
    <cellStyle name="Heading 4 6" xfId="2830"/>
    <cellStyle name="Heading 4 7" xfId="2831"/>
    <cellStyle name="Heading 4 8" xfId="2832"/>
    <cellStyle name="Heading 4 9" xfId="2833"/>
    <cellStyle name="Hyperlink" xfId="3164" builtinId="8"/>
    <cellStyle name="Input" xfId="3173" builtinId="20" customBuiltin="1"/>
    <cellStyle name="Input 10" xfId="2834"/>
    <cellStyle name="Input 11" xfId="2835"/>
    <cellStyle name="Input 12" xfId="2836"/>
    <cellStyle name="Input 13" xfId="2837"/>
    <cellStyle name="Input 14" xfId="2838"/>
    <cellStyle name="Input 15" xfId="2839"/>
    <cellStyle name="Input 16" xfId="2840"/>
    <cellStyle name="Input 17" xfId="2841"/>
    <cellStyle name="Input 2" xfId="2842"/>
    <cellStyle name="Input 3" xfId="2843"/>
    <cellStyle name="Input 4" xfId="2844"/>
    <cellStyle name="Input 5" xfId="2845"/>
    <cellStyle name="Input 6" xfId="2846"/>
    <cellStyle name="Input 7" xfId="2847"/>
    <cellStyle name="Input 8" xfId="2848"/>
    <cellStyle name="Input 9" xfId="2849"/>
    <cellStyle name="Linked Cell" xfId="3176" builtinId="24" customBuiltin="1"/>
    <cellStyle name="Linked Cell 10" xfId="2850"/>
    <cellStyle name="Linked Cell 11" xfId="2851"/>
    <cellStyle name="Linked Cell 12" xfId="2852"/>
    <cellStyle name="Linked Cell 13" xfId="2853"/>
    <cellStyle name="Linked Cell 14" xfId="2854"/>
    <cellStyle name="Linked Cell 15" xfId="2855"/>
    <cellStyle name="Linked Cell 16" xfId="2856"/>
    <cellStyle name="Linked Cell 17" xfId="2857"/>
    <cellStyle name="Linked Cell 2" xfId="2858"/>
    <cellStyle name="Linked Cell 3" xfId="2859"/>
    <cellStyle name="Linked Cell 4" xfId="2860"/>
    <cellStyle name="Linked Cell 5" xfId="2861"/>
    <cellStyle name="Linked Cell 6" xfId="2862"/>
    <cellStyle name="Linked Cell 7" xfId="2863"/>
    <cellStyle name="Linked Cell 8" xfId="2864"/>
    <cellStyle name="Linked Cell 9" xfId="2865"/>
    <cellStyle name="Neutral" xfId="3172" builtinId="28" customBuiltin="1"/>
    <cellStyle name="Neutral 10" xfId="2866"/>
    <cellStyle name="Neutral 11" xfId="2867"/>
    <cellStyle name="Neutral 12" xfId="2868"/>
    <cellStyle name="Neutral 13" xfId="2869"/>
    <cellStyle name="Neutral 14" xfId="2870"/>
    <cellStyle name="Neutral 15" xfId="2871"/>
    <cellStyle name="Neutral 16" xfId="2872"/>
    <cellStyle name="Neutral 17" xfId="2873"/>
    <cellStyle name="Neutral 2" xfId="2874"/>
    <cellStyle name="Neutral 3" xfId="2875"/>
    <cellStyle name="Neutral 4" xfId="2876"/>
    <cellStyle name="Neutral 5" xfId="2877"/>
    <cellStyle name="Neutral 6" xfId="2878"/>
    <cellStyle name="Neutral 7" xfId="2879"/>
    <cellStyle name="Neutral 8" xfId="2880"/>
    <cellStyle name="Neutral 9" xfId="2881"/>
    <cellStyle name="Normal" xfId="0" builtinId="0"/>
    <cellStyle name="Normal 2" xfId="1"/>
    <cellStyle name="Normal 3" xfId="2882"/>
    <cellStyle name="Normal 3 2" xfId="2883"/>
    <cellStyle name="Normal 3 2 2" xfId="2884"/>
    <cellStyle name="Normal 3 2 3" xfId="2885"/>
    <cellStyle name="Normal 3 3" xfId="2886"/>
    <cellStyle name="Normal 3 3 2" xfId="2887"/>
    <cellStyle name="Normal 3 3 3" xfId="2888"/>
    <cellStyle name="Normal 3 4" xfId="2889"/>
    <cellStyle name="Normal 3 4 2" xfId="2890"/>
    <cellStyle name="Normal 3 4 3" xfId="2891"/>
    <cellStyle name="Normal 3 5" xfId="2892"/>
    <cellStyle name="Normal 3 6" xfId="2893"/>
    <cellStyle name="Normal 3 7" xfId="2894"/>
    <cellStyle name="Normal 9" xfId="2895"/>
    <cellStyle name="Normal 9 2" xfId="2896"/>
    <cellStyle name="Normal 9 2 2" xfId="2897"/>
    <cellStyle name="Normal 9 2 3" xfId="2898"/>
    <cellStyle name="Normal 9 3" xfId="2899"/>
    <cellStyle name="Normal 9 3 2" xfId="2900"/>
    <cellStyle name="Normal 9 3 3" xfId="2901"/>
    <cellStyle name="Normal 9 4" xfId="2902"/>
    <cellStyle name="Normal 9 4 2" xfId="2903"/>
    <cellStyle name="Normal 9 4 3" xfId="2904"/>
    <cellStyle name="Normal 9 5" xfId="2905"/>
    <cellStyle name="Normal 9 6" xfId="2906"/>
    <cellStyle name="Normal 9 7" xfId="2907"/>
    <cellStyle name="Note" xfId="3179" builtinId="10" customBuiltin="1"/>
    <cellStyle name="Note 10" xfId="2908"/>
    <cellStyle name="Note 10 2" xfId="2909"/>
    <cellStyle name="Note 10 2 2" xfId="2910"/>
    <cellStyle name="Note 10 2 3" xfId="2911"/>
    <cellStyle name="Note 10 3" xfId="2912"/>
    <cellStyle name="Note 10 3 2" xfId="2913"/>
    <cellStyle name="Note 10 3 3" xfId="2914"/>
    <cellStyle name="Note 10 4" xfId="2915"/>
    <cellStyle name="Note 10 4 2" xfId="2916"/>
    <cellStyle name="Note 10 4 3" xfId="2917"/>
    <cellStyle name="Note 10 5" xfId="2918"/>
    <cellStyle name="Note 10 6" xfId="2919"/>
    <cellStyle name="Note 10 7" xfId="2920"/>
    <cellStyle name="Note 11" xfId="2921"/>
    <cellStyle name="Note 11 2" xfId="2922"/>
    <cellStyle name="Note 11 2 2" xfId="2923"/>
    <cellStyle name="Note 11 2 3" xfId="2924"/>
    <cellStyle name="Note 11 3" xfId="2925"/>
    <cellStyle name="Note 11 3 2" xfId="2926"/>
    <cellStyle name="Note 11 3 3" xfId="2927"/>
    <cellStyle name="Note 11 4" xfId="2928"/>
    <cellStyle name="Note 11 4 2" xfId="2929"/>
    <cellStyle name="Note 11 4 3" xfId="2930"/>
    <cellStyle name="Note 11 5" xfId="2931"/>
    <cellStyle name="Note 11 6" xfId="2932"/>
    <cellStyle name="Note 11 7" xfId="2933"/>
    <cellStyle name="Note 12" xfId="2934"/>
    <cellStyle name="Note 12 2" xfId="2935"/>
    <cellStyle name="Note 12 2 2" xfId="2936"/>
    <cellStyle name="Note 12 2 3" xfId="2937"/>
    <cellStyle name="Note 12 3" xfId="2938"/>
    <cellStyle name="Note 12 3 2" xfId="2939"/>
    <cellStyle name="Note 12 3 3" xfId="2940"/>
    <cellStyle name="Note 12 4" xfId="2941"/>
    <cellStyle name="Note 12 4 2" xfId="2942"/>
    <cellStyle name="Note 12 4 3" xfId="2943"/>
    <cellStyle name="Note 12 5" xfId="2944"/>
    <cellStyle name="Note 12 6" xfId="2945"/>
    <cellStyle name="Note 12 7" xfId="2946"/>
    <cellStyle name="Note 13" xfId="2947"/>
    <cellStyle name="Note 13 2" xfId="2948"/>
    <cellStyle name="Note 13 2 2" xfId="2949"/>
    <cellStyle name="Note 13 2 3" xfId="2950"/>
    <cellStyle name="Note 13 3" xfId="2951"/>
    <cellStyle name="Note 13 3 2" xfId="2952"/>
    <cellStyle name="Note 13 3 3" xfId="2953"/>
    <cellStyle name="Note 13 4" xfId="2954"/>
    <cellStyle name="Note 13 4 2" xfId="2955"/>
    <cellStyle name="Note 13 4 3" xfId="2956"/>
    <cellStyle name="Note 13 5" xfId="2957"/>
    <cellStyle name="Note 13 6" xfId="2958"/>
    <cellStyle name="Note 13 7" xfId="2959"/>
    <cellStyle name="Note 14" xfId="2960"/>
    <cellStyle name="Note 14 2" xfId="2961"/>
    <cellStyle name="Note 14 2 2" xfId="2962"/>
    <cellStyle name="Note 14 2 3" xfId="2963"/>
    <cellStyle name="Note 14 3" xfId="2964"/>
    <cellStyle name="Note 14 3 2" xfId="2965"/>
    <cellStyle name="Note 14 3 3" xfId="2966"/>
    <cellStyle name="Note 14 4" xfId="2967"/>
    <cellStyle name="Note 14 4 2" xfId="2968"/>
    <cellStyle name="Note 14 4 3" xfId="2969"/>
    <cellStyle name="Note 14 5" xfId="2970"/>
    <cellStyle name="Note 14 6" xfId="2971"/>
    <cellStyle name="Note 14 7" xfId="2972"/>
    <cellStyle name="Note 15" xfId="2973"/>
    <cellStyle name="Note 15 2" xfId="2974"/>
    <cellStyle name="Note 15 2 2" xfId="2975"/>
    <cellStyle name="Note 15 2 3" xfId="2976"/>
    <cellStyle name="Note 15 3" xfId="2977"/>
    <cellStyle name="Note 15 3 2" xfId="2978"/>
    <cellStyle name="Note 15 3 3" xfId="2979"/>
    <cellStyle name="Note 15 4" xfId="2980"/>
    <cellStyle name="Note 15 4 2" xfId="2981"/>
    <cellStyle name="Note 15 4 3" xfId="2982"/>
    <cellStyle name="Note 15 5" xfId="2983"/>
    <cellStyle name="Note 15 6" xfId="2984"/>
    <cellStyle name="Note 15 7" xfId="2985"/>
    <cellStyle name="Note 16" xfId="2986"/>
    <cellStyle name="Note 16 2" xfId="2987"/>
    <cellStyle name="Note 16 2 2" xfId="2988"/>
    <cellStyle name="Note 16 2 3" xfId="2989"/>
    <cellStyle name="Note 16 3" xfId="2990"/>
    <cellStyle name="Note 16 3 2" xfId="2991"/>
    <cellStyle name="Note 16 3 3" xfId="2992"/>
    <cellStyle name="Note 16 4" xfId="2993"/>
    <cellStyle name="Note 16 4 2" xfId="2994"/>
    <cellStyle name="Note 16 4 3" xfId="2995"/>
    <cellStyle name="Note 16 5" xfId="2996"/>
    <cellStyle name="Note 16 6" xfId="2997"/>
    <cellStyle name="Note 16 7" xfId="2998"/>
    <cellStyle name="Note 17" xfId="2999"/>
    <cellStyle name="Note 17 2" xfId="3000"/>
    <cellStyle name="Note 17 2 2" xfId="3001"/>
    <cellStyle name="Note 17 2 3" xfId="3002"/>
    <cellStyle name="Note 17 3" xfId="3003"/>
    <cellStyle name="Note 17 3 2" xfId="3004"/>
    <cellStyle name="Note 17 3 3" xfId="3005"/>
    <cellStyle name="Note 17 4" xfId="3006"/>
    <cellStyle name="Note 17 4 2" xfId="3007"/>
    <cellStyle name="Note 17 4 3" xfId="3008"/>
    <cellStyle name="Note 17 5" xfId="3009"/>
    <cellStyle name="Note 17 6" xfId="3010"/>
    <cellStyle name="Note 17 7" xfId="3011"/>
    <cellStyle name="Note 2" xfId="3012"/>
    <cellStyle name="Note 2 2" xfId="3013"/>
    <cellStyle name="Note 2 2 2" xfId="3014"/>
    <cellStyle name="Note 2 2 3" xfId="3015"/>
    <cellStyle name="Note 2 3" xfId="3016"/>
    <cellStyle name="Note 2 3 2" xfId="3017"/>
    <cellStyle name="Note 2 3 3" xfId="3018"/>
    <cellStyle name="Note 2 4" xfId="3019"/>
    <cellStyle name="Note 2 4 2" xfId="3020"/>
    <cellStyle name="Note 2 4 3" xfId="3021"/>
    <cellStyle name="Note 2 5" xfId="3022"/>
    <cellStyle name="Note 2 6" xfId="3023"/>
    <cellStyle name="Note 2 7" xfId="3024"/>
    <cellStyle name="Note 3" xfId="3025"/>
    <cellStyle name="Note 3 2" xfId="3026"/>
    <cellStyle name="Note 3 2 2" xfId="3027"/>
    <cellStyle name="Note 3 2 3" xfId="3028"/>
    <cellStyle name="Note 3 3" xfId="3029"/>
    <cellStyle name="Note 3 3 2" xfId="3030"/>
    <cellStyle name="Note 3 3 3" xfId="3031"/>
    <cellStyle name="Note 3 4" xfId="3032"/>
    <cellStyle name="Note 3 4 2" xfId="3033"/>
    <cellStyle name="Note 3 4 3" xfId="3034"/>
    <cellStyle name="Note 3 5" xfId="3035"/>
    <cellStyle name="Note 3 6" xfId="3036"/>
    <cellStyle name="Note 3 7" xfId="3037"/>
    <cellStyle name="Note 4" xfId="3038"/>
    <cellStyle name="Note 4 2" xfId="3039"/>
    <cellStyle name="Note 4 2 2" xfId="3040"/>
    <cellStyle name="Note 4 2 3" xfId="3041"/>
    <cellStyle name="Note 4 3" xfId="3042"/>
    <cellStyle name="Note 4 3 2" xfId="3043"/>
    <cellStyle name="Note 4 3 3" xfId="3044"/>
    <cellStyle name="Note 4 4" xfId="3045"/>
    <cellStyle name="Note 4 4 2" xfId="3046"/>
    <cellStyle name="Note 4 4 3" xfId="3047"/>
    <cellStyle name="Note 4 5" xfId="3048"/>
    <cellStyle name="Note 4 6" xfId="3049"/>
    <cellStyle name="Note 4 7" xfId="3050"/>
    <cellStyle name="Note 5" xfId="3051"/>
    <cellStyle name="Note 5 2" xfId="3052"/>
    <cellStyle name="Note 5 2 2" xfId="3053"/>
    <cellStyle name="Note 5 2 3" xfId="3054"/>
    <cellStyle name="Note 5 3" xfId="3055"/>
    <cellStyle name="Note 5 3 2" xfId="3056"/>
    <cellStyle name="Note 5 3 3" xfId="3057"/>
    <cellStyle name="Note 5 4" xfId="3058"/>
    <cellStyle name="Note 5 4 2" xfId="3059"/>
    <cellStyle name="Note 5 4 3" xfId="3060"/>
    <cellStyle name="Note 5 5" xfId="3061"/>
    <cellStyle name="Note 5 6" xfId="3062"/>
    <cellStyle name="Note 5 7" xfId="3063"/>
    <cellStyle name="Note 6" xfId="3064"/>
    <cellStyle name="Note 6 2" xfId="3065"/>
    <cellStyle name="Note 6 2 2" xfId="3066"/>
    <cellStyle name="Note 6 2 3" xfId="3067"/>
    <cellStyle name="Note 6 3" xfId="3068"/>
    <cellStyle name="Note 6 3 2" xfId="3069"/>
    <cellStyle name="Note 6 3 3" xfId="3070"/>
    <cellStyle name="Note 6 4" xfId="3071"/>
    <cellStyle name="Note 6 4 2" xfId="3072"/>
    <cellStyle name="Note 6 4 3" xfId="3073"/>
    <cellStyle name="Note 6 5" xfId="3074"/>
    <cellStyle name="Note 6 6" xfId="3075"/>
    <cellStyle name="Note 6 7" xfId="3076"/>
    <cellStyle name="Note 7" xfId="3077"/>
    <cellStyle name="Note 7 2" xfId="3078"/>
    <cellStyle name="Note 7 2 2" xfId="3079"/>
    <cellStyle name="Note 7 2 3" xfId="3080"/>
    <cellStyle name="Note 7 3" xfId="3081"/>
    <cellStyle name="Note 7 3 2" xfId="3082"/>
    <cellStyle name="Note 7 3 3" xfId="3083"/>
    <cellStyle name="Note 7 4" xfId="3084"/>
    <cellStyle name="Note 7 4 2" xfId="3085"/>
    <cellStyle name="Note 7 4 3" xfId="3086"/>
    <cellStyle name="Note 7 5" xfId="3087"/>
    <cellStyle name="Note 7 6" xfId="3088"/>
    <cellStyle name="Note 7 7" xfId="3089"/>
    <cellStyle name="Note 8" xfId="3090"/>
    <cellStyle name="Note 8 2" xfId="3091"/>
    <cellStyle name="Note 8 2 2" xfId="3092"/>
    <cellStyle name="Note 8 2 3" xfId="3093"/>
    <cellStyle name="Note 8 3" xfId="3094"/>
    <cellStyle name="Note 8 3 2" xfId="3095"/>
    <cellStyle name="Note 8 3 3" xfId="3096"/>
    <cellStyle name="Note 8 4" xfId="3097"/>
    <cellStyle name="Note 8 4 2" xfId="3098"/>
    <cellStyle name="Note 8 4 3" xfId="3099"/>
    <cellStyle name="Note 8 5" xfId="3100"/>
    <cellStyle name="Note 8 6" xfId="3101"/>
    <cellStyle name="Note 8 7" xfId="3102"/>
    <cellStyle name="Note 9" xfId="3103"/>
    <cellStyle name="Note 9 2" xfId="3104"/>
    <cellStyle name="Note 9 2 2" xfId="3105"/>
    <cellStyle name="Note 9 2 3" xfId="3106"/>
    <cellStyle name="Note 9 3" xfId="3107"/>
    <cellStyle name="Note 9 3 2" xfId="3108"/>
    <cellStyle name="Note 9 3 3" xfId="3109"/>
    <cellStyle name="Note 9 4" xfId="3110"/>
    <cellStyle name="Note 9 4 2" xfId="3111"/>
    <cellStyle name="Note 9 4 3" xfId="3112"/>
    <cellStyle name="Note 9 5" xfId="3113"/>
    <cellStyle name="Note 9 6" xfId="3114"/>
    <cellStyle name="Note 9 7" xfId="3115"/>
    <cellStyle name="Output" xfId="3174" builtinId="21" customBuiltin="1"/>
    <cellStyle name="Output 10" xfId="3116"/>
    <cellStyle name="Output 11" xfId="3117"/>
    <cellStyle name="Output 12" xfId="3118"/>
    <cellStyle name="Output 13" xfId="3119"/>
    <cellStyle name="Output 14" xfId="3120"/>
    <cellStyle name="Output 15" xfId="3121"/>
    <cellStyle name="Output 16" xfId="3122"/>
    <cellStyle name="Output 17" xfId="3123"/>
    <cellStyle name="Output 2" xfId="3124"/>
    <cellStyle name="Output 3" xfId="3125"/>
    <cellStyle name="Output 4" xfId="3126"/>
    <cellStyle name="Output 5" xfId="3127"/>
    <cellStyle name="Output 6" xfId="3128"/>
    <cellStyle name="Output 7" xfId="3129"/>
    <cellStyle name="Output 8" xfId="3130"/>
    <cellStyle name="Output 9" xfId="3131"/>
    <cellStyle name="Title" xfId="3165" builtinId="15" customBuiltin="1"/>
    <cellStyle name="Total" xfId="3181" builtinId="25" customBuiltin="1"/>
    <cellStyle name="Total 10" xfId="3132"/>
    <cellStyle name="Total 11" xfId="3133"/>
    <cellStyle name="Total 12" xfId="3134"/>
    <cellStyle name="Total 13" xfId="3135"/>
    <cellStyle name="Total 14" xfId="3136"/>
    <cellStyle name="Total 15" xfId="3137"/>
    <cellStyle name="Total 16" xfId="3138"/>
    <cellStyle name="Total 17" xfId="3139"/>
    <cellStyle name="Total 2" xfId="3140"/>
    <cellStyle name="Total 3" xfId="3141"/>
    <cellStyle name="Total 4" xfId="3142"/>
    <cellStyle name="Total 5" xfId="3143"/>
    <cellStyle name="Total 6" xfId="3144"/>
    <cellStyle name="Total 7" xfId="3145"/>
    <cellStyle name="Total 8" xfId="3146"/>
    <cellStyle name="Total 9" xfId="3147"/>
    <cellStyle name="Warning Text" xfId="3178" builtinId="11" customBuiltin="1"/>
    <cellStyle name="Warning Text 10" xfId="3148"/>
    <cellStyle name="Warning Text 11" xfId="3149"/>
    <cellStyle name="Warning Text 12" xfId="3150"/>
    <cellStyle name="Warning Text 13" xfId="3151"/>
    <cellStyle name="Warning Text 14" xfId="3152"/>
    <cellStyle name="Warning Text 15" xfId="3153"/>
    <cellStyle name="Warning Text 16" xfId="3154"/>
    <cellStyle name="Warning Text 17" xfId="3155"/>
    <cellStyle name="Warning Text 2" xfId="3156"/>
    <cellStyle name="Warning Text 3" xfId="3157"/>
    <cellStyle name="Warning Text 4" xfId="3158"/>
    <cellStyle name="Warning Text 5" xfId="3159"/>
    <cellStyle name="Warning Text 6" xfId="3160"/>
    <cellStyle name="Warning Text 7" xfId="3161"/>
    <cellStyle name="Warning Text 8" xfId="3162"/>
    <cellStyle name="Warning Text 9" xfId="3163"/>
  </cellStyles>
  <dxfs count="0"/>
  <tableStyles count="0" defaultTableStyle="TableStyleMedium9" defaultPivotStyle="PivotStyleLight16"/>
  <colors>
    <mruColors>
      <color rgb="FFDCE6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Radio" checked="Checked" firstButton="1" fmlaLink="$G$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microsoft.com/office/2007/relationships/hdphoto" Target="../media/hdphoto3.wdp"/><Relationship Id="rId5" Type="http://schemas.openxmlformats.org/officeDocument/2006/relationships/image" Target="../media/image3.png"/><Relationship Id="rId4" Type="http://schemas.microsoft.com/office/2007/relationships/hdphoto" Target="../media/hdphoto2.wdp"/></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http://www.gnu.org/licenses/gpl-3.0-standalone.html" TargetMode="External"/></Relationships>
</file>

<file path=xl/drawings/drawing1.xml><?xml version="1.0" encoding="utf-8"?>
<xdr:wsDr xmlns:xdr="http://schemas.openxmlformats.org/drawingml/2006/spreadsheetDrawing" xmlns:a="http://schemas.openxmlformats.org/drawingml/2006/main">
  <xdr:twoCellAnchor editAs="oneCell">
    <xdr:from>
      <xdr:col>3</xdr:col>
      <xdr:colOff>160019</xdr:colOff>
      <xdr:row>9</xdr:row>
      <xdr:rowOff>17145</xdr:rowOff>
    </xdr:from>
    <xdr:to>
      <xdr:col>4</xdr:col>
      <xdr:colOff>384966</xdr:colOff>
      <xdr:row>12</xdr:row>
      <xdr:rowOff>944880</xdr:rowOff>
    </xdr:to>
    <xdr:pic>
      <xdr:nvPicPr>
        <xdr:cNvPr id="2" name="Picture 5" descr="C:\Users\wim\AppData\Local\Temp\msohtmlclip1\01\clip_image001.png"/>
        <xdr:cNvPicPr>
          <a:picLocks noChangeAspect="1" noChangeArrowheads="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Lst>
        </a:blip>
        <a:srcRect l="547" t="1" b="26279"/>
        <a:stretch/>
      </xdr:blipFill>
      <xdr:spPr bwMode="auto">
        <a:xfrm>
          <a:off x="3093719" y="1655445"/>
          <a:ext cx="2076607" cy="1453515"/>
        </a:xfrm>
        <a:prstGeom prst="rect">
          <a:avLst/>
        </a:prstGeom>
        <a:noFill/>
        <a:ln w="9525">
          <a:noFill/>
          <a:miter lim="800000"/>
          <a:headEnd/>
          <a:tailEnd/>
        </a:ln>
      </xdr:spPr>
    </xdr:pic>
    <xdr:clientData/>
  </xdr:twoCellAnchor>
  <xdr:twoCellAnchor editAs="oneCell">
    <xdr:from>
      <xdr:col>3</xdr:col>
      <xdr:colOff>150495</xdr:colOff>
      <xdr:row>14</xdr:row>
      <xdr:rowOff>53340</xdr:rowOff>
    </xdr:from>
    <xdr:to>
      <xdr:col>4</xdr:col>
      <xdr:colOff>392577</xdr:colOff>
      <xdr:row>14</xdr:row>
      <xdr:rowOff>1790700</xdr:rowOff>
    </xdr:to>
    <xdr:pic>
      <xdr:nvPicPr>
        <xdr:cNvPr id="3" name="Picture 7"/>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saturation sat="52000"/>
                  </a14:imgEffect>
                </a14:imgLayer>
              </a14:imgProps>
            </a:ext>
          </a:extLst>
        </a:blip>
        <a:srcRect/>
        <a:stretch>
          <a:fillRect/>
        </a:stretch>
      </xdr:blipFill>
      <xdr:spPr bwMode="auto">
        <a:xfrm>
          <a:off x="3084195" y="3398520"/>
          <a:ext cx="2093742" cy="1737360"/>
        </a:xfrm>
        <a:prstGeom prst="rect">
          <a:avLst/>
        </a:prstGeom>
        <a:noFill/>
        <a:ln w="1">
          <a:noFill/>
          <a:miter lim="800000"/>
          <a:headEnd/>
          <a:tailEnd/>
        </a:ln>
      </xdr:spPr>
    </xdr:pic>
    <xdr:clientData/>
  </xdr:twoCellAnchor>
  <xdr:twoCellAnchor>
    <xdr:from>
      <xdr:col>3</xdr:col>
      <xdr:colOff>1514476</xdr:colOff>
      <xdr:row>12</xdr:row>
      <xdr:rowOff>205740</xdr:rowOff>
    </xdr:from>
    <xdr:to>
      <xdr:col>3</xdr:col>
      <xdr:colOff>1516381</xdr:colOff>
      <xdr:row>12</xdr:row>
      <xdr:rowOff>1190625</xdr:rowOff>
    </xdr:to>
    <xdr:cxnSp macro="">
      <xdr:nvCxnSpPr>
        <xdr:cNvPr id="5" name="Straight Arrow Connector 4"/>
        <xdr:cNvCxnSpPr/>
      </xdr:nvCxnSpPr>
      <xdr:spPr>
        <a:xfrm rot="16200000" flipV="1">
          <a:off x="3956686" y="2861310"/>
          <a:ext cx="984885" cy="1905"/>
        </a:xfrm>
        <a:prstGeom prst="straightConnector1">
          <a:avLst/>
        </a:prstGeom>
        <a:ln w="38100">
          <a:solidFill>
            <a:schemeClr val="accent2">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45721</xdr:colOff>
      <xdr:row>9</xdr:row>
      <xdr:rowOff>17251</xdr:rowOff>
    </xdr:from>
    <xdr:to>
      <xdr:col>2</xdr:col>
      <xdr:colOff>1115321</xdr:colOff>
      <xdr:row>12</xdr:row>
      <xdr:rowOff>952501</xdr:rowOff>
    </xdr:to>
    <xdr:pic>
      <xdr:nvPicPr>
        <xdr:cNvPr id="6" name="Picture 5"/>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aturation sat="0"/>
                  </a14:imgEffect>
                </a14:imgLayer>
              </a14:imgProps>
            </a:ext>
          </a:extLst>
        </a:blip>
        <a:stretch>
          <a:fillRect/>
        </a:stretch>
      </xdr:blipFill>
      <xdr:spPr>
        <a:xfrm>
          <a:off x="160021" y="2737591"/>
          <a:ext cx="2365000" cy="1461030"/>
        </a:xfrm>
        <a:prstGeom prst="rect">
          <a:avLst/>
        </a:prstGeom>
      </xdr:spPr>
    </xdr:pic>
    <xdr:clientData/>
  </xdr:twoCellAnchor>
  <xdr:twoCellAnchor>
    <xdr:from>
      <xdr:col>1</xdr:col>
      <xdr:colOff>952500</xdr:colOff>
      <xdr:row>11</xdr:row>
      <xdr:rowOff>45721</xdr:rowOff>
    </xdr:from>
    <xdr:to>
      <xdr:col>2</xdr:col>
      <xdr:colOff>257177</xdr:colOff>
      <xdr:row>13</xdr:row>
      <xdr:rowOff>60960</xdr:rowOff>
    </xdr:to>
    <xdr:cxnSp macro="">
      <xdr:nvCxnSpPr>
        <xdr:cNvPr id="7" name="Straight Arrow Connector 6"/>
        <xdr:cNvCxnSpPr/>
      </xdr:nvCxnSpPr>
      <xdr:spPr>
        <a:xfrm flipV="1">
          <a:off x="1203960" y="3070861"/>
          <a:ext cx="600077" cy="1158239"/>
        </a:xfrm>
        <a:prstGeom prst="straightConnector1">
          <a:avLst/>
        </a:prstGeom>
        <a:ln w="38100">
          <a:solidFill>
            <a:schemeClr val="accent2">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728980</xdr:colOff>
      <xdr:row>42</xdr:row>
      <xdr:rowOff>38100</xdr:rowOff>
    </xdr:from>
    <xdr:to>
      <xdr:col>5</xdr:col>
      <xdr:colOff>251460</xdr:colOff>
      <xdr:row>43</xdr:row>
      <xdr:rowOff>109220</xdr:rowOff>
    </xdr:to>
    <xdr:sp macro="[0]!hideStructure" textlink="">
      <xdr:nvSpPr>
        <xdr:cNvPr id="2" name="tools"/>
        <xdr:cNvSpPr/>
      </xdr:nvSpPr>
      <xdr:spPr>
        <a:xfrm>
          <a:off x="4729480" y="7726680"/>
          <a:ext cx="1137920" cy="254000"/>
        </a:xfrm>
        <a:prstGeom prst="roundRect">
          <a:avLst/>
        </a:prstGeom>
        <a:solidFill>
          <a:srgbClr val="C8C8C8"/>
        </a:solidFill>
        <a:ln w="6350">
          <a:solidFill>
            <a:srgbClr val="FAFAFA"/>
          </a:solidFill>
        </a:ln>
        <a:effectLst>
          <a:outerShdw blurRad="76200" dir="18900000" sy="23000" kx="-1200000" algn="bl">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000000"/>
              </a:solidFill>
            </a:rPr>
            <a:t>Hide Structure...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30480</xdr:colOff>
      <xdr:row>13</xdr:row>
      <xdr:rowOff>121920</xdr:rowOff>
    </xdr:from>
    <xdr:to>
      <xdr:col>6</xdr:col>
      <xdr:colOff>0</xdr:colOff>
      <xdr:row>20</xdr:row>
      <xdr:rowOff>15240</xdr:rowOff>
    </xdr:to>
    <xdr:sp macro="" textlink="">
      <xdr:nvSpPr>
        <xdr:cNvPr id="54" name="Rounded Rectangle 53"/>
        <xdr:cNvSpPr/>
      </xdr:nvSpPr>
      <xdr:spPr>
        <a:xfrm>
          <a:off x="30480" y="4183380"/>
          <a:ext cx="3627120" cy="1432560"/>
        </a:xfrm>
        <a:prstGeom prst="roundRect">
          <a:avLst>
            <a:gd name="adj" fmla="val 6176"/>
          </a:avLst>
        </a:prstGeom>
        <a:solidFill>
          <a:schemeClr val="bg1">
            <a:lumMod val="50000"/>
            <a:alpha val="20000"/>
          </a:schemeClr>
        </a:solidFill>
        <a:ln w="3175">
          <a:solidFill>
            <a:schemeClr val="tx1">
              <a:lumMod val="50000"/>
              <a:lumOff val="50000"/>
            </a:schemeClr>
          </a:solidFill>
        </a:ln>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xdr:colOff>
      <xdr:row>20</xdr:row>
      <xdr:rowOff>60960</xdr:rowOff>
    </xdr:from>
    <xdr:to>
      <xdr:col>6</xdr:col>
      <xdr:colOff>0</xdr:colOff>
      <xdr:row>27</xdr:row>
      <xdr:rowOff>0</xdr:rowOff>
    </xdr:to>
    <xdr:sp macro="" textlink="">
      <xdr:nvSpPr>
        <xdr:cNvPr id="55" name="Rounded Rectangle 54"/>
        <xdr:cNvSpPr/>
      </xdr:nvSpPr>
      <xdr:spPr>
        <a:xfrm>
          <a:off x="30480" y="5661660"/>
          <a:ext cx="3627120" cy="975360"/>
        </a:xfrm>
        <a:prstGeom prst="roundRect">
          <a:avLst>
            <a:gd name="adj" fmla="val 7820"/>
          </a:avLst>
        </a:prstGeom>
        <a:solidFill>
          <a:schemeClr val="tx1">
            <a:lumMod val="75000"/>
            <a:lumOff val="25000"/>
            <a:alpha val="20000"/>
          </a:schemeClr>
        </a:solidFill>
        <a:ln w="3175">
          <a:solidFill>
            <a:schemeClr val="tx1">
              <a:lumMod val="50000"/>
              <a:lumOff val="50000"/>
            </a:schemeClr>
          </a:solidFill>
        </a:ln>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91440</xdr:colOff>
      <xdr:row>0</xdr:row>
      <xdr:rowOff>30480</xdr:rowOff>
    </xdr:from>
    <xdr:to>
      <xdr:col>9</xdr:col>
      <xdr:colOff>137160</xdr:colOff>
      <xdr:row>27</xdr:row>
      <xdr:rowOff>7620</xdr:rowOff>
    </xdr:to>
    <xdr:sp macro="" textlink="">
      <xdr:nvSpPr>
        <xdr:cNvPr id="56" name="Rounded Rectangle 55"/>
        <xdr:cNvSpPr/>
      </xdr:nvSpPr>
      <xdr:spPr>
        <a:xfrm>
          <a:off x="3749040" y="30480"/>
          <a:ext cx="3550920" cy="6614160"/>
        </a:xfrm>
        <a:prstGeom prst="roundRect">
          <a:avLst>
            <a:gd name="adj" fmla="val 2351"/>
          </a:avLst>
        </a:prstGeom>
        <a:solidFill>
          <a:schemeClr val="tx1">
            <a:lumMod val="95000"/>
            <a:lumOff val="5000"/>
            <a:alpha val="20000"/>
          </a:schemeClr>
        </a:solidFill>
        <a:ln w="3175">
          <a:solidFill>
            <a:schemeClr val="tx1">
              <a:lumMod val="50000"/>
              <a:lumOff val="50000"/>
            </a:schemeClr>
          </a:solidFill>
        </a:ln>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xdr:colOff>
      <xdr:row>1</xdr:row>
      <xdr:rowOff>22860</xdr:rowOff>
    </xdr:from>
    <xdr:to>
      <xdr:col>6</xdr:col>
      <xdr:colOff>0</xdr:colOff>
      <xdr:row>13</xdr:row>
      <xdr:rowOff>76200</xdr:rowOff>
    </xdr:to>
    <xdr:sp macro="" textlink="">
      <xdr:nvSpPr>
        <xdr:cNvPr id="9" name="Rounded Rectangle 8"/>
        <xdr:cNvSpPr/>
      </xdr:nvSpPr>
      <xdr:spPr>
        <a:xfrm>
          <a:off x="30480" y="358140"/>
          <a:ext cx="3627120" cy="3779520"/>
        </a:xfrm>
        <a:prstGeom prst="roundRect">
          <a:avLst>
            <a:gd name="adj" fmla="val 2351"/>
          </a:avLst>
        </a:prstGeom>
        <a:solidFill>
          <a:schemeClr val="bg1">
            <a:lumMod val="50000"/>
            <a:alpha val="20000"/>
          </a:schemeClr>
        </a:solidFill>
        <a:ln w="3175">
          <a:solidFill>
            <a:schemeClr val="tx1">
              <a:lumMod val="50000"/>
              <a:lumOff val="50000"/>
            </a:schemeClr>
          </a:solidFill>
        </a:ln>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14</xdr:row>
      <xdr:rowOff>62754</xdr:rowOff>
    </xdr:from>
    <xdr:to>
      <xdr:col>8</xdr:col>
      <xdr:colOff>3284220</xdr:colOff>
      <xdr:row>24</xdr:row>
      <xdr:rowOff>80683</xdr:rowOff>
    </xdr:to>
    <xdr:sp macro="" textlink="">
      <xdr:nvSpPr>
        <xdr:cNvPr id="3" name="TextBox 2"/>
        <xdr:cNvSpPr txBox="1"/>
      </xdr:nvSpPr>
      <xdr:spPr>
        <a:xfrm>
          <a:off x="3872753" y="4338919"/>
          <a:ext cx="3284220" cy="226807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900" b="1">
              <a:solidFill>
                <a:schemeClr val="tx1">
                  <a:lumMod val="50000"/>
                  <a:lumOff val="50000"/>
                </a:schemeClr>
              </a:solidFill>
            </a:rPr>
            <a:t>In layman's terms:</a:t>
          </a:r>
        </a:p>
        <a:p>
          <a:r>
            <a:rPr lang="en-US" sz="900">
              <a:solidFill>
                <a:schemeClr val="bg1">
                  <a:lumMod val="50000"/>
                </a:schemeClr>
              </a:solidFill>
            </a:rPr>
            <a:t>The GPL V3 is a </a:t>
          </a:r>
          <a:r>
            <a:rPr lang="en-US" sz="900" i="1">
              <a:solidFill>
                <a:schemeClr val="bg1">
                  <a:lumMod val="50000"/>
                </a:schemeClr>
              </a:solidFill>
            </a:rPr>
            <a:t>copyleft</a:t>
          </a:r>
          <a:r>
            <a:rPr lang="en-US" sz="900">
              <a:solidFill>
                <a:schemeClr val="bg1">
                  <a:lumMod val="50000"/>
                </a:schemeClr>
              </a:solidFill>
            </a:rPr>
            <a:t> license, meaning that the</a:t>
          </a:r>
          <a:r>
            <a:rPr lang="en-US" sz="900" baseline="0">
              <a:solidFill>
                <a:schemeClr val="bg1">
                  <a:lumMod val="50000"/>
                </a:schemeClr>
              </a:solidFill>
            </a:rPr>
            <a:t> code</a:t>
          </a:r>
          <a:r>
            <a:rPr lang="en-US" sz="900">
              <a:solidFill>
                <a:schemeClr val="bg1">
                  <a:lumMod val="50000"/>
                </a:schemeClr>
              </a:solidFill>
            </a:rPr>
            <a:t> may be used, modified, and distributed freely on condition that anything derived from it is under the same license (i.e.</a:t>
          </a:r>
          <a:r>
            <a:rPr lang="en-US" sz="900" baseline="0">
              <a:solidFill>
                <a:schemeClr val="bg1">
                  <a:lumMod val="50000"/>
                </a:schemeClr>
              </a:solidFill>
            </a:rPr>
            <a:t> </a:t>
          </a:r>
          <a:r>
            <a:rPr lang="en-US" sz="900">
              <a:solidFill>
                <a:schemeClr val="bg1">
                  <a:lumMod val="50000"/>
                </a:schemeClr>
              </a:solidFill>
            </a:rPr>
            <a:t> open source as well). The GPL also requires </a:t>
          </a:r>
          <a:r>
            <a:rPr lang="en-US" sz="900" u="none">
              <a:solidFill>
                <a:schemeClr val="bg1">
                  <a:lumMod val="50000"/>
                </a:schemeClr>
              </a:solidFill>
            </a:rPr>
            <a:t>that modified versions of the code be </a:t>
          </a:r>
          <a:r>
            <a:rPr lang="en-US" sz="900" i="1" u="none">
              <a:solidFill>
                <a:schemeClr val="bg1">
                  <a:lumMod val="50000"/>
                </a:schemeClr>
              </a:solidFill>
            </a:rPr>
            <a:t>clearly marked as changed</a:t>
          </a:r>
          <a:r>
            <a:rPr lang="en-US" sz="900" u="none">
              <a:solidFill>
                <a:schemeClr val="bg1">
                  <a:lumMod val="50000"/>
                </a:schemeClr>
              </a:solidFill>
            </a:rPr>
            <a:t>, </a:t>
          </a:r>
          <a:r>
            <a:rPr lang="en-US" sz="900">
              <a:solidFill>
                <a:schemeClr val="bg1">
                  <a:lumMod val="50000"/>
                </a:schemeClr>
              </a:solidFill>
            </a:rPr>
            <a:t>so that their problems will not be attributed erroneously to authors of previous versions.</a:t>
          </a:r>
        </a:p>
        <a:p>
          <a:endParaRPr lang="en-US" sz="900">
            <a:solidFill>
              <a:schemeClr val="tx1">
                <a:lumMod val="50000"/>
                <a:lumOff val="50000"/>
              </a:schemeClr>
            </a:solidFill>
          </a:endParaRPr>
        </a:p>
        <a:p>
          <a:r>
            <a:rPr lang="en-US" sz="900" b="1">
              <a:solidFill>
                <a:schemeClr val="tx1">
                  <a:lumMod val="50000"/>
                  <a:lumOff val="50000"/>
                </a:schemeClr>
              </a:solidFill>
            </a:rPr>
            <a:t>No association with IMPLAN</a:t>
          </a:r>
        </a:p>
        <a:p>
          <a:r>
            <a:rPr lang="en-US" sz="900" b="0">
              <a:solidFill>
                <a:schemeClr val="bg1">
                  <a:lumMod val="50000"/>
                </a:schemeClr>
              </a:solidFill>
            </a:rPr>
            <a:t>This Excel application is not part of, or associated with the IMPLAN software published by MIG, Inc. (Formerly "Minnesota IMPLAN Group, Inc."</a:t>
          </a:r>
          <a:r>
            <a:rPr lang="en-US" sz="900" b="0" baseline="0">
              <a:solidFill>
                <a:schemeClr val="bg1">
                  <a:lumMod val="50000"/>
                </a:schemeClr>
              </a:solidFill>
            </a:rPr>
            <a:t> - </a:t>
          </a:r>
          <a:r>
            <a:rPr lang="en-US" sz="900" b="0">
              <a:solidFill>
                <a:schemeClr val="bg1">
                  <a:lumMod val="50000"/>
                </a:schemeClr>
              </a:solidFill>
            </a:rPr>
            <a:t>www.implan.com).  This application is merely  intended to facilitate the creation of user interactive Social Account Matrices using either manual input, or the output resulting from the use of programs such as IMPLAN.</a:t>
          </a:r>
        </a:p>
        <a:p>
          <a:endParaRPr lang="en-US" sz="1000" b="1">
            <a:solidFill>
              <a:schemeClr val="bg1">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670560</xdr:rowOff>
        </xdr:from>
        <xdr:to>
          <xdr:col>4</xdr:col>
          <xdr:colOff>7620</xdr:colOff>
          <xdr:row>8</xdr:row>
          <xdr:rowOff>838200</xdr:rowOff>
        </xdr:to>
        <xdr:sp macro="" textlink="">
          <xdr:nvSpPr>
            <xdr:cNvPr id="6156" name="Option Button 12" hidden="1">
              <a:extLst>
                <a:ext uri="{63B3BB69-23CF-44E3-9099-C40C66FF867C}">
                  <a14:compatExt spid="_x0000_s6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aggregate households into one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845820</xdr:rowOff>
        </xdr:from>
        <xdr:to>
          <xdr:col>4</xdr:col>
          <xdr:colOff>7620</xdr:colOff>
          <xdr:row>8</xdr:row>
          <xdr:rowOff>1005840</xdr:rowOff>
        </xdr:to>
        <xdr:sp macro="" textlink="">
          <xdr:nvSpPr>
            <xdr:cNvPr id="6157" name="Option Button 13" hidden="1">
              <a:extLst>
                <a:ext uri="{63B3BB69-23CF-44E3-9099-C40C66FF867C}">
                  <a14:compatExt spid="_x0000_s6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aggregate households in low, medium and high tiers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1013460</xdr:rowOff>
        </xdr:from>
        <xdr:to>
          <xdr:col>4</xdr:col>
          <xdr:colOff>7620</xdr:colOff>
          <xdr:row>9</xdr:row>
          <xdr:rowOff>0</xdr:rowOff>
        </xdr:to>
        <xdr:sp macro="" textlink="">
          <xdr:nvSpPr>
            <xdr:cNvPr id="6158" name="Option Button 14" hidden="1">
              <a:extLst>
                <a:ext uri="{63B3BB69-23CF-44E3-9099-C40C66FF867C}">
                  <a14:compatExt spid="_x0000_s6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don't aggregate households</a:t>
              </a:r>
            </a:p>
          </xdr:txBody>
        </xdr:sp>
        <xdr:clientData fLocksWithSheet="0"/>
      </xdr:twoCellAnchor>
    </mc:Choice>
    <mc:Fallback/>
  </mc:AlternateContent>
  <xdr:twoCellAnchor editAs="oneCell">
    <xdr:from>
      <xdr:col>8</xdr:col>
      <xdr:colOff>2099984</xdr:colOff>
      <xdr:row>8</xdr:row>
      <xdr:rowOff>822064</xdr:rowOff>
    </xdr:from>
    <xdr:to>
      <xdr:col>9</xdr:col>
      <xdr:colOff>19724</xdr:colOff>
      <xdr:row>9</xdr:row>
      <xdr:rowOff>134023</xdr:rowOff>
    </xdr:to>
    <xdr:pic>
      <xdr:nvPicPr>
        <xdr:cNvPr id="20" name="Picture 19" descr=" [GPLv3 Logo] ">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70944" y="2727064"/>
          <a:ext cx="1211580" cy="4930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289560</xdr:colOff>
      <xdr:row>0</xdr:row>
      <xdr:rowOff>7620</xdr:rowOff>
    </xdr:from>
    <xdr:to>
      <xdr:col>10</xdr:col>
      <xdr:colOff>495300</xdr:colOff>
      <xdr:row>27</xdr:row>
      <xdr:rowOff>15240</xdr:rowOff>
    </xdr:to>
    <xdr:sp macro="" textlink="">
      <xdr:nvSpPr>
        <xdr:cNvPr id="6165" name="AutoShape 21"/>
        <xdr:cNvSpPr>
          <a:spLocks noChangeAspect="1" noChangeArrowheads="1"/>
        </xdr:cNvSpPr>
      </xdr:nvSpPr>
      <xdr:spPr bwMode="auto">
        <a:xfrm>
          <a:off x="4160520" y="7620"/>
          <a:ext cx="3665220" cy="66446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279400</xdr:colOff>
      <xdr:row>3</xdr:row>
      <xdr:rowOff>83820</xdr:rowOff>
    </xdr:from>
    <xdr:to>
      <xdr:col>1</xdr:col>
      <xdr:colOff>299720</xdr:colOff>
      <xdr:row>4</xdr:row>
      <xdr:rowOff>0</xdr:rowOff>
    </xdr:to>
    <xdr:sp macro="[0]!retrieveImplanData" textlink="">
      <xdr:nvSpPr>
        <xdr:cNvPr id="6272" name="btn0"/>
        <xdr:cNvSpPr/>
      </xdr:nvSpPr>
      <xdr:spPr>
        <a:xfrm>
          <a:off x="279400" y="66294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7</xdr:row>
      <xdr:rowOff>0</xdr:rowOff>
    </xdr:from>
    <xdr:to>
      <xdr:col>1</xdr:col>
      <xdr:colOff>299720</xdr:colOff>
      <xdr:row>7</xdr:row>
      <xdr:rowOff>152400</xdr:rowOff>
    </xdr:to>
    <xdr:sp macro="[0]!createSam" textlink="">
      <xdr:nvSpPr>
        <xdr:cNvPr id="6273" name="btn1"/>
        <xdr:cNvSpPr/>
      </xdr:nvSpPr>
      <xdr:spPr>
        <a:xfrm>
          <a:off x="279400" y="160782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10</xdr:row>
      <xdr:rowOff>45720</xdr:rowOff>
    </xdr:from>
    <xdr:to>
      <xdr:col>1</xdr:col>
      <xdr:colOff>299720</xdr:colOff>
      <xdr:row>11</xdr:row>
      <xdr:rowOff>0</xdr:rowOff>
    </xdr:to>
    <xdr:sp macro="[0]!ClearMatrices" textlink="">
      <xdr:nvSpPr>
        <xdr:cNvPr id="6274" name="btn2"/>
        <xdr:cNvSpPr/>
      </xdr:nvSpPr>
      <xdr:spPr>
        <a:xfrm>
          <a:off x="279400" y="330708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16</xdr:row>
      <xdr:rowOff>83820</xdr:rowOff>
    </xdr:from>
    <xdr:to>
      <xdr:col>1</xdr:col>
      <xdr:colOff>299720</xdr:colOff>
      <xdr:row>17</xdr:row>
      <xdr:rowOff>0</xdr:rowOff>
    </xdr:to>
    <xdr:sp macro="[0]!SaveFunctionalCopy" textlink="">
      <xdr:nvSpPr>
        <xdr:cNvPr id="6275" name="btn3"/>
        <xdr:cNvSpPr/>
      </xdr:nvSpPr>
      <xdr:spPr>
        <a:xfrm>
          <a:off x="279400" y="457962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18</xdr:row>
      <xdr:rowOff>91440</xdr:rowOff>
    </xdr:from>
    <xdr:to>
      <xdr:col>1</xdr:col>
      <xdr:colOff>299720</xdr:colOff>
      <xdr:row>19</xdr:row>
      <xdr:rowOff>22860</xdr:rowOff>
    </xdr:to>
    <xdr:sp macro="[0]!SaveArchiveCopy" textlink="">
      <xdr:nvSpPr>
        <xdr:cNvPr id="6276" name="btn4"/>
        <xdr:cNvSpPr/>
      </xdr:nvSpPr>
      <xdr:spPr>
        <a:xfrm>
          <a:off x="279400" y="508254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5</xdr:row>
      <xdr:rowOff>30480</xdr:rowOff>
    </xdr:from>
    <xdr:to>
      <xdr:col>1</xdr:col>
      <xdr:colOff>299720</xdr:colOff>
      <xdr:row>6</xdr:row>
      <xdr:rowOff>7620</xdr:rowOff>
    </xdr:to>
    <xdr:sp macro="[0]!ManualInput" textlink="">
      <xdr:nvSpPr>
        <xdr:cNvPr id="6277" name="btn5"/>
        <xdr:cNvSpPr/>
      </xdr:nvSpPr>
      <xdr:spPr>
        <a:xfrm>
          <a:off x="279400" y="128778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22</xdr:row>
      <xdr:rowOff>76200</xdr:rowOff>
    </xdr:from>
    <xdr:to>
      <xdr:col>1</xdr:col>
      <xdr:colOff>299720</xdr:colOff>
      <xdr:row>23</xdr:row>
      <xdr:rowOff>7620</xdr:rowOff>
    </xdr:to>
    <xdr:sp macro="[0]!EditStructure" textlink="">
      <xdr:nvSpPr>
        <xdr:cNvPr id="6278" name="btn6"/>
        <xdr:cNvSpPr/>
      </xdr:nvSpPr>
      <xdr:spPr>
        <a:xfrm>
          <a:off x="279400" y="6035040"/>
          <a:ext cx="317500" cy="152400"/>
        </a:xfrm>
        <a:prstGeom prst="roundRect">
          <a:avLst/>
        </a:prstGeom>
        <a:solidFill>
          <a:schemeClr val="bg1">
            <a:lumMod val="8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12</xdr:row>
      <xdr:rowOff>15240</xdr:rowOff>
    </xdr:from>
    <xdr:to>
      <xdr:col>1</xdr:col>
      <xdr:colOff>299720</xdr:colOff>
      <xdr:row>12</xdr:row>
      <xdr:rowOff>167640</xdr:rowOff>
    </xdr:to>
    <xdr:sp macro="[0]!FAQ" textlink="">
      <xdr:nvSpPr>
        <xdr:cNvPr id="6279" name="btn7"/>
        <xdr:cNvSpPr/>
      </xdr:nvSpPr>
      <xdr:spPr>
        <a:xfrm>
          <a:off x="279400" y="3901440"/>
          <a:ext cx="317500" cy="152400"/>
        </a:xfrm>
        <a:prstGeom prst="roundRect">
          <a:avLst/>
        </a:prstGeom>
        <a:solidFill>
          <a:schemeClr val="accent1">
            <a:lumMod val="5000"/>
            <a:lumOff val="95000"/>
          </a:schemeClr>
        </a:solidFill>
        <a:ln w="6350">
          <a:solidFill>
            <a:srgbClr val="FAFAFA"/>
          </a:solidFill>
        </a:ln>
        <a:effectLst>
          <a:outerShdw blurRad="63500" sx="102000" sy="102000" algn="ctr">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4485640</xdr:colOff>
      <xdr:row>0</xdr:row>
      <xdr:rowOff>30480</xdr:rowOff>
    </xdr:from>
    <xdr:to>
      <xdr:col>1</xdr:col>
      <xdr:colOff>5438140</xdr:colOff>
      <xdr:row>0</xdr:row>
      <xdr:rowOff>284480</xdr:rowOff>
    </xdr:to>
    <xdr:sp macro="goTools" textlink="">
      <xdr:nvSpPr>
        <xdr:cNvPr id="2" name="tools"/>
        <xdr:cNvSpPr/>
      </xdr:nvSpPr>
      <xdr:spPr>
        <a:xfrm>
          <a:off x="4836160" y="30480"/>
          <a:ext cx="952500" cy="254000"/>
        </a:xfrm>
        <a:prstGeom prst="roundRect">
          <a:avLst/>
        </a:prstGeom>
        <a:solidFill>
          <a:srgbClr val="C8C8C8"/>
        </a:solidFill>
        <a:ln w="6350">
          <a:solidFill>
            <a:srgbClr val="FAFAFA"/>
          </a:solidFill>
        </a:ln>
        <a:effectLst>
          <a:outerShdw blurRad="76200" dir="18900000" sy="23000" kx="-1200000" algn="bl">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000000"/>
              </a:solidFill>
            </a:rPr>
            <a:t>GoTo Tools...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mdmproofing.com/iym/macros.php" TargetMode="External"/><Relationship Id="rId1" Type="http://schemas.openxmlformats.org/officeDocument/2006/relationships/hyperlink" Target="https://support.office.com/en-us/article/Enable-or-disable-macros-in-Office-files-12b036fd-d140-4e74-b45e-16fed1a7e5c6"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6"/>
  <sheetViews>
    <sheetView tabSelected="1" topLeftCell="A2" workbookViewId="0"/>
  </sheetViews>
  <sheetFormatPr defaultColWidth="9.109375" defaultRowHeight="13.2" x14ac:dyDescent="0.25"/>
  <cols>
    <col min="1" max="1" width="1.6640625" style="1" customWidth="1"/>
    <col min="2" max="2" width="18.88671875" style="1" customWidth="1"/>
    <col min="3" max="3" width="16.77734375" style="1" customWidth="1"/>
    <col min="4" max="4" width="27" style="1" customWidth="1"/>
    <col min="5" max="5" width="11.109375" style="1" customWidth="1"/>
    <col min="6" max="6" width="2.21875" style="1" customWidth="1"/>
    <col min="7" max="7" width="54.77734375" style="1" customWidth="1"/>
    <col min="8" max="16384" width="9.109375" style="1"/>
  </cols>
  <sheetData>
    <row r="1" spans="1:11" ht="4.8" hidden="1" customHeight="1" x14ac:dyDescent="0.25">
      <c r="A1" s="2"/>
      <c r="B1" s="2"/>
      <c r="C1" s="2"/>
      <c r="D1" s="2"/>
      <c r="E1" s="2"/>
      <c r="F1" s="2"/>
    </row>
    <row r="2" spans="1:11" ht="36.6" customHeight="1" x14ac:dyDescent="0.25">
      <c r="A2" s="94"/>
      <c r="B2" s="177" t="s">
        <v>229</v>
      </c>
      <c r="C2" s="177"/>
      <c r="D2" s="177"/>
      <c r="E2" s="177"/>
      <c r="F2" s="94"/>
      <c r="G2" s="112"/>
      <c r="H2" s="112"/>
      <c r="I2" s="112"/>
      <c r="J2" s="112"/>
      <c r="K2" s="112"/>
    </row>
    <row r="3" spans="1:11" ht="6" customHeight="1" thickBot="1" x14ac:dyDescent="0.3">
      <c r="A3" s="94"/>
      <c r="B3" s="94"/>
      <c r="C3" s="94"/>
      <c r="D3" s="94"/>
      <c r="E3" s="94"/>
      <c r="F3" s="94"/>
      <c r="G3" s="112"/>
      <c r="H3" s="112"/>
      <c r="I3" s="112"/>
      <c r="J3" s="112"/>
      <c r="K3" s="112"/>
    </row>
    <row r="4" spans="1:11" ht="100.8" customHeight="1" x14ac:dyDescent="0.25">
      <c r="A4" s="94"/>
      <c r="B4" s="172" t="s">
        <v>228</v>
      </c>
      <c r="C4" s="173"/>
      <c r="D4" s="173"/>
      <c r="E4" s="174"/>
      <c r="F4" s="94"/>
      <c r="G4" s="112"/>
      <c r="H4" s="112"/>
      <c r="I4" s="112"/>
      <c r="J4" s="112"/>
      <c r="K4" s="112"/>
    </row>
    <row r="5" spans="1:11" s="93" customFormat="1" ht="13.2" customHeight="1" x14ac:dyDescent="0.2">
      <c r="A5" s="95"/>
      <c r="B5" s="91" t="s">
        <v>226</v>
      </c>
      <c r="C5" s="175" t="s">
        <v>219</v>
      </c>
      <c r="D5" s="175"/>
      <c r="E5" s="92"/>
      <c r="F5" s="95"/>
      <c r="G5" s="113"/>
      <c r="H5" s="113"/>
      <c r="I5" s="113"/>
      <c r="J5" s="113"/>
      <c r="K5" s="113"/>
    </row>
    <row r="6" spans="1:11" s="90" customFormat="1" ht="16.8" customHeight="1" thickBot="1" x14ac:dyDescent="0.35">
      <c r="A6" s="96"/>
      <c r="B6" s="87" t="s">
        <v>225</v>
      </c>
      <c r="C6" s="176" t="s">
        <v>0</v>
      </c>
      <c r="D6" s="176"/>
      <c r="E6" s="88"/>
      <c r="F6" s="96"/>
      <c r="G6" s="114"/>
      <c r="H6" s="114"/>
      <c r="I6" s="114"/>
      <c r="J6" s="114"/>
      <c r="K6" s="114"/>
    </row>
    <row r="7" spans="1:11" x14ac:dyDescent="0.25">
      <c r="A7" s="94"/>
      <c r="B7" s="94"/>
      <c r="C7" s="94"/>
      <c r="D7" s="97"/>
      <c r="E7" s="94"/>
      <c r="F7" s="94"/>
      <c r="G7" s="112"/>
      <c r="H7" s="112"/>
      <c r="I7" s="112"/>
      <c r="J7" s="112"/>
      <c r="K7" s="112"/>
    </row>
    <row r="8" spans="1:11" ht="13.2" customHeight="1" x14ac:dyDescent="0.3">
      <c r="A8" s="98"/>
      <c r="B8" s="22" t="s">
        <v>222</v>
      </c>
      <c r="C8" s="99"/>
      <c r="D8" s="100" t="s">
        <v>223</v>
      </c>
      <c r="E8" s="101"/>
      <c r="F8" s="98"/>
      <c r="G8" s="112"/>
      <c r="H8" s="112"/>
      <c r="I8" s="112"/>
      <c r="J8" s="112"/>
      <c r="K8" s="112"/>
    </row>
    <row r="9" spans="1:11" ht="14.4" customHeight="1" x14ac:dyDescent="0.3">
      <c r="A9" s="98"/>
      <c r="B9" s="102" t="s">
        <v>220</v>
      </c>
      <c r="C9" s="103"/>
      <c r="D9" s="102" t="s">
        <v>1</v>
      </c>
      <c r="E9" s="85"/>
      <c r="F9" s="98"/>
      <c r="G9" s="112"/>
      <c r="H9" s="112"/>
      <c r="I9" s="112"/>
      <c r="J9" s="112"/>
      <c r="K9" s="112"/>
    </row>
    <row r="10" spans="1:11" ht="12.75" customHeight="1" x14ac:dyDescent="0.3">
      <c r="A10" s="94"/>
      <c r="B10" s="84"/>
      <c r="C10" s="104"/>
      <c r="D10" s="84"/>
      <c r="E10" s="85"/>
      <c r="F10" s="94"/>
      <c r="G10" s="112"/>
      <c r="H10" s="112"/>
      <c r="I10" s="112"/>
      <c r="J10" s="112"/>
      <c r="K10" s="112"/>
    </row>
    <row r="11" spans="1:11" ht="14.4" x14ac:dyDescent="0.3">
      <c r="A11" s="94"/>
      <c r="B11" s="84"/>
      <c r="C11" s="104"/>
      <c r="D11" s="84"/>
      <c r="E11" s="85"/>
      <c r="F11" s="94"/>
      <c r="G11" s="112"/>
      <c r="H11" s="112"/>
      <c r="I11" s="112"/>
      <c r="J11" s="112"/>
      <c r="K11" s="112"/>
    </row>
    <row r="12" spans="1:11" ht="14.4" x14ac:dyDescent="0.3">
      <c r="A12" s="94"/>
      <c r="B12" s="84"/>
      <c r="C12" s="105"/>
      <c r="D12" s="84"/>
      <c r="E12" s="85"/>
      <c r="F12" s="94"/>
      <c r="G12" s="112"/>
      <c r="H12" s="112"/>
      <c r="I12" s="112"/>
      <c r="J12" s="112"/>
      <c r="K12" s="112"/>
    </row>
    <row r="13" spans="1:11" ht="75.599999999999994" customHeight="1" x14ac:dyDescent="0.25">
      <c r="A13" s="94"/>
      <c r="B13" s="106"/>
      <c r="C13" s="107"/>
      <c r="D13" s="84"/>
      <c r="E13" s="85"/>
      <c r="F13" s="94"/>
      <c r="G13" s="112"/>
      <c r="H13" s="112"/>
      <c r="I13" s="112"/>
      <c r="J13" s="112"/>
      <c r="K13" s="112"/>
    </row>
    <row r="14" spans="1:11" ht="17.399999999999999" customHeight="1" x14ac:dyDescent="0.3">
      <c r="A14" s="94"/>
      <c r="B14" s="108" t="s">
        <v>221</v>
      </c>
      <c r="C14" s="104"/>
      <c r="D14" s="109" t="s">
        <v>224</v>
      </c>
      <c r="E14" s="85"/>
      <c r="F14" s="94"/>
      <c r="G14" s="112"/>
      <c r="H14" s="112"/>
      <c r="I14" s="112"/>
      <c r="J14" s="112"/>
      <c r="K14" s="112"/>
    </row>
    <row r="15" spans="1:11" ht="148.19999999999999" customHeight="1" x14ac:dyDescent="0.25">
      <c r="A15" s="94"/>
      <c r="B15" s="110"/>
      <c r="C15" s="111"/>
      <c r="D15" s="86"/>
      <c r="E15" s="83"/>
      <c r="F15" s="94"/>
      <c r="G15" s="112"/>
      <c r="H15" s="112"/>
      <c r="I15" s="112"/>
      <c r="J15" s="112"/>
      <c r="K15" s="112"/>
    </row>
    <row r="16" spans="1:11" x14ac:dyDescent="0.25">
      <c r="A16" s="94"/>
      <c r="B16" s="94"/>
      <c r="C16" s="94"/>
      <c r="D16" s="94"/>
      <c r="E16" s="94"/>
      <c r="F16" s="94"/>
      <c r="G16" s="112"/>
      <c r="H16" s="112"/>
      <c r="I16" s="112"/>
      <c r="J16" s="112"/>
      <c r="K16" s="112"/>
    </row>
  </sheetData>
  <mergeCells count="4">
    <mergeCell ref="B4:E4"/>
    <mergeCell ref="C5:D5"/>
    <mergeCell ref="C6:D6"/>
    <mergeCell ref="B2:E2"/>
  </mergeCells>
  <hyperlinks>
    <hyperlink ref="C5" r:id="rId1"/>
    <hyperlink ref="C6"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51"/>
  <sheetViews>
    <sheetView workbookViewId="0">
      <pane xSplit="1" ySplit="1" topLeftCell="B27" activePane="bottomRight" state="frozen"/>
      <selection pane="topRight" activeCell="B1" sqref="B1"/>
      <selection pane="bottomLeft" activeCell="A2" sqref="A2"/>
      <selection pane="bottomRight" activeCell="E53" sqref="E53"/>
    </sheetView>
  </sheetViews>
  <sheetFormatPr defaultRowHeight="14.4" x14ac:dyDescent="0.3"/>
  <cols>
    <col min="1" max="1" width="21" style="29" bestFit="1" customWidth="1"/>
    <col min="2" max="2" width="5.88671875" style="29" bestFit="1" customWidth="1"/>
    <col min="3" max="3" width="20.5546875" style="29" bestFit="1" customWidth="1"/>
    <col min="4" max="4" width="10.88671875" style="29" bestFit="1" customWidth="1"/>
    <col min="5" max="5" width="23.5546875" style="4" bestFit="1" customWidth="1"/>
    <col min="6" max="6" width="12" style="31" bestFit="1" customWidth="1"/>
    <col min="7" max="7" width="11.5546875" style="29" bestFit="1" customWidth="1"/>
    <col min="8" max="8" width="5" style="29" bestFit="1" customWidth="1"/>
    <col min="9" max="9" width="12.33203125" style="29" bestFit="1" customWidth="1"/>
    <col min="10" max="10" width="32.33203125" style="29" customWidth="1"/>
    <col min="11" max="11" width="21" style="29" bestFit="1" customWidth="1"/>
    <col min="12" max="12" width="32.33203125" customWidth="1"/>
    <col min="13" max="13" width="6.88671875" bestFit="1" customWidth="1"/>
    <col min="14" max="14" width="5.88671875" bestFit="1" customWidth="1"/>
    <col min="15" max="15" width="8.109375" bestFit="1" customWidth="1"/>
    <col min="16" max="16" width="5.44140625" bestFit="1" customWidth="1"/>
    <col min="18" max="18" width="8.6640625" bestFit="1" customWidth="1"/>
    <col min="19" max="19" width="7.33203125" bestFit="1" customWidth="1"/>
    <col min="20" max="20" width="8.109375" bestFit="1" customWidth="1"/>
    <col min="21" max="21" width="3.33203125" bestFit="1" customWidth="1"/>
    <col min="22" max="22" width="8.109375" bestFit="1" customWidth="1"/>
    <col min="33" max="33" width="0" hidden="1" customWidth="1"/>
  </cols>
  <sheetData>
    <row r="1" spans="1:33" ht="15" thickBot="1" x14ac:dyDescent="0.35">
      <c r="A1" s="51" t="s">
        <v>35</v>
      </c>
      <c r="B1" s="50" t="s">
        <v>66</v>
      </c>
      <c r="C1" s="49" t="s">
        <v>32</v>
      </c>
      <c r="D1" s="49" t="s">
        <v>33</v>
      </c>
      <c r="E1" s="48" t="s">
        <v>79</v>
      </c>
      <c r="F1" s="47" t="s">
        <v>49</v>
      </c>
      <c r="G1" s="46" t="s">
        <v>63</v>
      </c>
      <c r="H1" s="45" t="s">
        <v>70</v>
      </c>
      <c r="I1" s="44" t="s">
        <v>84</v>
      </c>
      <c r="J1" s="44" t="s">
        <v>91</v>
      </c>
      <c r="K1" s="43" t="s">
        <v>80</v>
      </c>
      <c r="L1" s="29"/>
    </row>
    <row r="2" spans="1:33" x14ac:dyDescent="0.3">
      <c r="A2" s="11" t="s">
        <v>15</v>
      </c>
      <c r="B2" s="42">
        <v>1</v>
      </c>
      <c r="C2" s="41" t="s">
        <v>15</v>
      </c>
      <c r="D2" s="41"/>
      <c r="E2" s="15" t="str">
        <f>CONCATENATE(C2, CHAR(10), D2)</f>
        <v xml:space="preserve">group
</v>
      </c>
      <c r="F2" s="40" t="s">
        <v>60</v>
      </c>
      <c r="G2" s="39">
        <v>2</v>
      </c>
      <c r="H2" s="26" t="b">
        <v>1</v>
      </c>
      <c r="I2" s="27"/>
      <c r="J2" s="27"/>
      <c r="K2" s="36" t="s">
        <v>15</v>
      </c>
      <c r="AG2" t="e">
        <f t="shared" ref="AG2:AG21" si="0">VACoefficient * Exogenous</f>
        <v>#REF!</v>
      </c>
    </row>
    <row r="3" spans="1:33" x14ac:dyDescent="0.3">
      <c r="A3" s="12" t="s">
        <v>18</v>
      </c>
      <c r="B3" s="13">
        <v>2</v>
      </c>
      <c r="C3" s="14" t="s">
        <v>18</v>
      </c>
      <c r="D3" s="14" t="s">
        <v>3</v>
      </c>
      <c r="E3" s="15" t="str">
        <f t="shared" ref="E3:E38" si="1">CONCATENATE(C3, CHAR(10), D3)</f>
        <v>sort
NAICS</v>
      </c>
      <c r="F3" s="20" t="s">
        <v>60</v>
      </c>
      <c r="G3" s="23">
        <v>0</v>
      </c>
      <c r="H3" s="26">
        <v>0</v>
      </c>
      <c r="I3" s="27"/>
      <c r="J3" s="27"/>
      <c r="K3" s="36" t="str">
        <f>CONCATENATE(D3)</f>
        <v>NAICS</v>
      </c>
      <c r="AG3" t="e">
        <f t="shared" si="0"/>
        <v>#REF!</v>
      </c>
    </row>
    <row r="4" spans="1:33" x14ac:dyDescent="0.3">
      <c r="A4" s="12" t="s">
        <v>36</v>
      </c>
      <c r="B4" s="13">
        <v>3</v>
      </c>
      <c r="C4" s="14" t="s">
        <v>205</v>
      </c>
      <c r="D4" s="14"/>
      <c r="E4" s="15" t="str">
        <f t="shared" si="1"/>
        <v xml:space="preserve">Receipts/payments in: 
</v>
      </c>
      <c r="F4" s="20" t="s">
        <v>60</v>
      </c>
      <c r="G4" s="23">
        <v>3</v>
      </c>
      <c r="H4" s="26">
        <v>0</v>
      </c>
      <c r="I4" s="27"/>
      <c r="J4" s="27"/>
      <c r="K4" s="36" t="s">
        <v>81</v>
      </c>
      <c r="AG4" t="e">
        <f t="shared" si="0"/>
        <v>#REF!</v>
      </c>
    </row>
    <row r="5" spans="1:33" x14ac:dyDescent="0.3">
      <c r="A5" s="12" t="s">
        <v>37</v>
      </c>
      <c r="B5" s="13">
        <v>4</v>
      </c>
      <c r="C5" s="14" t="s">
        <v>138</v>
      </c>
      <c r="D5" s="14" t="s">
        <v>27</v>
      </c>
      <c r="E5" s="15" t="str">
        <f t="shared" si="1"/>
        <v>OUTPUT
gross</v>
      </c>
      <c r="F5" s="20" t="s">
        <v>61</v>
      </c>
      <c r="G5" s="24">
        <v>1</v>
      </c>
      <c r="H5" s="26">
        <v>0</v>
      </c>
      <c r="I5" s="27" t="s">
        <v>22</v>
      </c>
      <c r="J5" s="27"/>
      <c r="K5" s="36" t="str">
        <f>CONCATENATE(C5, "",D5)</f>
        <v>OUTPUTgross</v>
      </c>
      <c r="AG5" t="e">
        <f t="shared" si="0"/>
        <v>#REF!</v>
      </c>
    </row>
    <row r="6" spans="1:33" x14ac:dyDescent="0.3">
      <c r="A6" s="12" t="s">
        <v>56</v>
      </c>
      <c r="B6" s="13">
        <v>5</v>
      </c>
      <c r="C6" s="19" t="s">
        <v>16</v>
      </c>
      <c r="D6" s="14" t="s">
        <v>27</v>
      </c>
      <c r="E6" s="15" t="str">
        <f t="shared" si="1"/>
        <v>%
gross</v>
      </c>
      <c r="F6" s="20" t="s">
        <v>57</v>
      </c>
      <c r="G6" s="24">
        <v>2</v>
      </c>
      <c r="H6" s="26">
        <v>0</v>
      </c>
      <c r="I6" s="27"/>
      <c r="J6" s="27"/>
      <c r="K6" s="36" t="s">
        <v>106</v>
      </c>
      <c r="AG6" t="e">
        <f t="shared" si="0"/>
        <v>#REF!</v>
      </c>
    </row>
    <row r="7" spans="1:33" x14ac:dyDescent="0.3">
      <c r="A7" s="12" t="s">
        <v>38</v>
      </c>
      <c r="B7" s="13">
        <v>6</v>
      </c>
      <c r="C7" s="14" t="s">
        <v>4</v>
      </c>
      <c r="D7" s="14"/>
      <c r="E7" s="15" t="str">
        <f t="shared" si="1"/>
        <v xml:space="preserve">Base Output
</v>
      </c>
      <c r="F7" s="20" t="s">
        <v>61</v>
      </c>
      <c r="G7" s="23">
        <v>1</v>
      </c>
      <c r="H7" s="26">
        <v>0</v>
      </c>
      <c r="I7" s="27"/>
      <c r="J7" s="27"/>
      <c r="K7" s="36" t="str">
        <f t="shared" ref="K7:K38" si="2">CONCATENATE(C7, "",D7)</f>
        <v>Base Output</v>
      </c>
      <c r="AG7" t="e">
        <f t="shared" si="0"/>
        <v>#REF!</v>
      </c>
    </row>
    <row r="8" spans="1:33" x14ac:dyDescent="0.3">
      <c r="A8" s="12" t="s">
        <v>55</v>
      </c>
      <c r="B8" s="13">
        <v>7</v>
      </c>
      <c r="C8" s="14" t="s">
        <v>16</v>
      </c>
      <c r="D8" s="14" t="s">
        <v>19</v>
      </c>
      <c r="E8" s="15" t="str">
        <f t="shared" si="1"/>
        <v>%
Base</v>
      </c>
      <c r="F8" s="20" t="s">
        <v>57</v>
      </c>
      <c r="G8" s="23">
        <v>2</v>
      </c>
      <c r="H8" s="26">
        <v>0</v>
      </c>
      <c r="I8" s="27"/>
      <c r="J8" s="27"/>
      <c r="K8" s="36" t="s">
        <v>30</v>
      </c>
      <c r="AG8" t="e">
        <f t="shared" si="0"/>
        <v>#REF!</v>
      </c>
    </row>
    <row r="9" spans="1:33" s="37" customFormat="1" x14ac:dyDescent="0.3">
      <c r="A9" s="12" t="s">
        <v>65</v>
      </c>
      <c r="B9" s="13">
        <v>8</v>
      </c>
      <c r="C9" s="14" t="s">
        <v>34</v>
      </c>
      <c r="D9" s="14" t="s">
        <v>22</v>
      </c>
      <c r="E9" s="15" t="str">
        <f t="shared" ref="E9" si="3">CONCATENATE(C9, CHAR(10), D9)</f>
        <v>mult
Output</v>
      </c>
      <c r="F9" s="20" t="s">
        <v>124</v>
      </c>
      <c r="G9" s="23">
        <v>2</v>
      </c>
      <c r="H9" s="26">
        <v>0</v>
      </c>
      <c r="I9" s="27"/>
      <c r="J9" s="27" t="s">
        <v>126</v>
      </c>
      <c r="K9" s="36" t="s">
        <v>129</v>
      </c>
      <c r="AG9" s="37" t="e">
        <f t="shared" si="0"/>
        <v>#REF!</v>
      </c>
    </row>
    <row r="10" spans="1:33" x14ac:dyDescent="0.3">
      <c r="A10" s="12" t="s">
        <v>125</v>
      </c>
      <c r="B10" s="13">
        <v>9</v>
      </c>
      <c r="C10" s="14" t="s">
        <v>34</v>
      </c>
      <c r="D10" s="14" t="s">
        <v>128</v>
      </c>
      <c r="E10" s="15" t="str">
        <f t="shared" si="1"/>
        <v>mult
Buss</v>
      </c>
      <c r="F10" s="20" t="s">
        <v>124</v>
      </c>
      <c r="G10" s="23">
        <v>2</v>
      </c>
      <c r="H10" s="26">
        <v>0</v>
      </c>
      <c r="I10" s="27"/>
      <c r="J10" s="27" t="s">
        <v>127</v>
      </c>
      <c r="K10" s="36" t="s">
        <v>130</v>
      </c>
      <c r="AG10" t="e">
        <f t="shared" si="0"/>
        <v>#REF!</v>
      </c>
    </row>
    <row r="11" spans="1:33" x14ac:dyDescent="0.3">
      <c r="A11" s="12" t="s">
        <v>151</v>
      </c>
      <c r="B11" s="13">
        <v>10</v>
      </c>
      <c r="C11" s="14" t="s">
        <v>25</v>
      </c>
      <c r="D11" s="14" t="s">
        <v>19</v>
      </c>
      <c r="E11" s="15" t="str">
        <f t="shared" si="1"/>
        <v>direct
Base</v>
      </c>
      <c r="F11" s="20" t="s">
        <v>61</v>
      </c>
      <c r="G11" s="23">
        <v>0</v>
      </c>
      <c r="H11" s="26">
        <v>0</v>
      </c>
      <c r="I11" s="27"/>
      <c r="J11" s="27"/>
      <c r="K11" s="36" t="s">
        <v>86</v>
      </c>
      <c r="AG11" t="e">
        <f t="shared" si="0"/>
        <v>#REF!</v>
      </c>
    </row>
    <row r="12" spans="1:33" x14ac:dyDescent="0.3">
      <c r="A12" s="12" t="s">
        <v>152</v>
      </c>
      <c r="B12" s="13">
        <v>11</v>
      </c>
      <c r="C12" s="14" t="s">
        <v>26</v>
      </c>
      <c r="D12" s="14" t="s">
        <v>19</v>
      </c>
      <c r="E12" s="15" t="str">
        <f t="shared" si="1"/>
        <v>indirect
Base</v>
      </c>
      <c r="F12" s="20" t="s">
        <v>61</v>
      </c>
      <c r="G12" s="23">
        <v>3</v>
      </c>
      <c r="H12" s="26">
        <v>0</v>
      </c>
      <c r="I12" s="27"/>
      <c r="J12" s="27"/>
      <c r="K12" s="36" t="s">
        <v>87</v>
      </c>
      <c r="AG12" t="e">
        <f t="shared" si="0"/>
        <v>#REF!</v>
      </c>
    </row>
    <row r="13" spans="1:33" x14ac:dyDescent="0.3">
      <c r="A13" s="12" t="s">
        <v>88</v>
      </c>
      <c r="B13" s="13">
        <v>12</v>
      </c>
      <c r="C13" s="14" t="s">
        <v>139</v>
      </c>
      <c r="D13" s="14" t="s">
        <v>27</v>
      </c>
      <c r="E13" s="15" t="str">
        <f t="shared" si="1"/>
        <v>EMPLOYMENT
gross</v>
      </c>
      <c r="F13" s="20" t="s">
        <v>62</v>
      </c>
      <c r="G13" s="23">
        <v>1</v>
      </c>
      <c r="H13" s="26">
        <v>0</v>
      </c>
      <c r="I13" s="27" t="s">
        <v>17</v>
      </c>
      <c r="J13" s="27"/>
      <c r="K13" s="36" t="s">
        <v>89</v>
      </c>
      <c r="AG13" t="e">
        <f t="shared" si="0"/>
        <v>#REF!</v>
      </c>
    </row>
    <row r="14" spans="1:33" x14ac:dyDescent="0.3">
      <c r="A14" s="12" t="s">
        <v>54</v>
      </c>
      <c r="B14" s="13">
        <v>13</v>
      </c>
      <c r="C14" s="14" t="s">
        <v>28</v>
      </c>
      <c r="D14" s="14" t="s">
        <v>20</v>
      </c>
      <c r="E14" s="15" t="str">
        <f t="shared" si="1"/>
        <v>% gross
Empl</v>
      </c>
      <c r="F14" s="20" t="s">
        <v>57</v>
      </c>
      <c r="G14" s="23">
        <v>2</v>
      </c>
      <c r="H14" s="26">
        <v>0</v>
      </c>
      <c r="I14" s="27"/>
      <c r="J14" s="27"/>
      <c r="K14" s="36" t="s">
        <v>107</v>
      </c>
      <c r="AG14" t="e">
        <f t="shared" si="0"/>
        <v>#REF!</v>
      </c>
    </row>
    <row r="15" spans="1:33" x14ac:dyDescent="0.3">
      <c r="A15" s="12" t="s">
        <v>40</v>
      </c>
      <c r="B15" s="13">
        <v>14</v>
      </c>
      <c r="C15" s="14" t="s">
        <v>19</v>
      </c>
      <c r="D15" s="14" t="s">
        <v>20</v>
      </c>
      <c r="E15" s="15" t="str">
        <f t="shared" si="1"/>
        <v>Base
Empl</v>
      </c>
      <c r="F15" s="20" t="s">
        <v>62</v>
      </c>
      <c r="G15" s="23">
        <v>1</v>
      </c>
      <c r="H15" s="26">
        <v>0</v>
      </c>
      <c r="I15" s="27"/>
      <c r="J15" s="27"/>
      <c r="K15" s="36" t="s">
        <v>117</v>
      </c>
      <c r="AG15" t="e">
        <f t="shared" si="0"/>
        <v>#REF!</v>
      </c>
    </row>
    <row r="16" spans="1:33" x14ac:dyDescent="0.3">
      <c r="A16" s="12" t="s">
        <v>53</v>
      </c>
      <c r="B16" s="13">
        <v>15</v>
      </c>
      <c r="C16" s="14" t="s">
        <v>29</v>
      </c>
      <c r="D16" s="14" t="s">
        <v>20</v>
      </c>
      <c r="E16" s="15" t="str">
        <f t="shared" si="1"/>
        <v xml:space="preserve"> % Base
Empl</v>
      </c>
      <c r="F16" s="20" t="s">
        <v>57</v>
      </c>
      <c r="G16" s="23">
        <v>2</v>
      </c>
      <c r="H16" s="26">
        <v>0</v>
      </c>
      <c r="I16" s="27"/>
      <c r="J16" s="27"/>
      <c r="K16" s="36" t="s">
        <v>118</v>
      </c>
      <c r="AG16" t="e">
        <f t="shared" si="0"/>
        <v>#REF!</v>
      </c>
    </row>
    <row r="17" spans="1:33" x14ac:dyDescent="0.3">
      <c r="A17" s="12" t="s">
        <v>93</v>
      </c>
      <c r="B17" s="13">
        <v>16</v>
      </c>
      <c r="C17" s="14" t="s">
        <v>92</v>
      </c>
      <c r="D17" s="14" t="s">
        <v>132</v>
      </c>
      <c r="E17" s="15" t="str">
        <f t="shared" si="1"/>
        <v>Jobs per 
$$$</v>
      </c>
      <c r="F17" s="20" t="s">
        <v>124</v>
      </c>
      <c r="G17" s="23">
        <v>1</v>
      </c>
      <c r="H17" s="26" t="b">
        <v>1</v>
      </c>
      <c r="I17" s="27"/>
      <c r="J17" s="27" t="s">
        <v>133</v>
      </c>
      <c r="K17" s="36" t="s">
        <v>95</v>
      </c>
      <c r="AG17" t="e">
        <f t="shared" si="0"/>
        <v>#REF!</v>
      </c>
    </row>
    <row r="18" spans="1:33" s="29" customFormat="1" x14ac:dyDescent="0.3">
      <c r="A18" s="12" t="s">
        <v>41</v>
      </c>
      <c r="B18" s="13">
        <v>17</v>
      </c>
      <c r="C18" s="14" t="s">
        <v>92</v>
      </c>
      <c r="D18" s="14" t="s">
        <v>131</v>
      </c>
      <c r="E18" s="15" t="str">
        <f t="shared" si="1"/>
        <v>Jobs per 
job</v>
      </c>
      <c r="F18" s="20" t="s">
        <v>124</v>
      </c>
      <c r="G18" s="23">
        <v>2</v>
      </c>
      <c r="H18" s="26">
        <v>0</v>
      </c>
      <c r="I18" s="27"/>
      <c r="J18" s="27" t="s">
        <v>134</v>
      </c>
      <c r="K18" s="36" t="s">
        <v>135</v>
      </c>
      <c r="AG18" s="29" t="e">
        <f t="shared" si="0"/>
        <v>#REF!</v>
      </c>
    </row>
    <row r="19" spans="1:33" x14ac:dyDescent="0.3">
      <c r="A19" s="12" t="s">
        <v>43</v>
      </c>
      <c r="B19" s="13">
        <v>18</v>
      </c>
      <c r="C19" s="14" t="s">
        <v>25</v>
      </c>
      <c r="D19" s="14" t="s">
        <v>20</v>
      </c>
      <c r="E19" s="15" t="str">
        <f t="shared" si="1"/>
        <v>direct
Empl</v>
      </c>
      <c r="F19" s="20" t="s">
        <v>62</v>
      </c>
      <c r="G19" s="23">
        <v>1</v>
      </c>
      <c r="H19" s="26">
        <v>0</v>
      </c>
      <c r="I19" s="27"/>
      <c r="J19" s="27"/>
      <c r="K19" s="36" t="s">
        <v>119</v>
      </c>
      <c r="AG19" t="e">
        <f t="shared" si="0"/>
        <v>#REF!</v>
      </c>
    </row>
    <row r="20" spans="1:33" x14ac:dyDescent="0.3">
      <c r="A20" s="16" t="s">
        <v>42</v>
      </c>
      <c r="B20" s="13">
        <v>19</v>
      </c>
      <c r="C20" s="17" t="s">
        <v>26</v>
      </c>
      <c r="D20" s="17" t="s">
        <v>20</v>
      </c>
      <c r="E20" s="15" t="str">
        <f t="shared" si="1"/>
        <v>indirect
Empl</v>
      </c>
      <c r="F20" s="20" t="s">
        <v>62</v>
      </c>
      <c r="G20" s="23">
        <v>2</v>
      </c>
      <c r="H20" s="26">
        <v>0</v>
      </c>
      <c r="I20" s="27"/>
      <c r="J20" s="27"/>
      <c r="K20" s="36" t="s">
        <v>120</v>
      </c>
      <c r="AG20" t="e">
        <f t="shared" si="0"/>
        <v>#REF!</v>
      </c>
    </row>
    <row r="21" spans="1:33" x14ac:dyDescent="0.3">
      <c r="A21" s="12" t="s">
        <v>136</v>
      </c>
      <c r="B21" s="13">
        <v>20</v>
      </c>
      <c r="C21" s="14" t="s">
        <v>137</v>
      </c>
      <c r="D21" s="14" t="s">
        <v>21</v>
      </c>
      <c r="E21" s="15" t="str">
        <f t="shared" si="1"/>
        <v>Jobs
Coefficient</v>
      </c>
      <c r="F21" s="20" t="s">
        <v>124</v>
      </c>
      <c r="G21" s="23">
        <v>3</v>
      </c>
      <c r="H21" s="26" t="b">
        <v>1</v>
      </c>
      <c r="I21" s="27"/>
      <c r="J21" s="27"/>
      <c r="K21" s="36" t="str">
        <f t="shared" si="2"/>
        <v>JobsCoefficient</v>
      </c>
      <c r="AG21" t="e">
        <f t="shared" si="0"/>
        <v>#REF!</v>
      </c>
    </row>
    <row r="22" spans="1:33" x14ac:dyDescent="0.3">
      <c r="A22" s="12" t="s">
        <v>39</v>
      </c>
      <c r="B22" s="13">
        <v>21</v>
      </c>
      <c r="C22" s="14" t="s">
        <v>140</v>
      </c>
      <c r="D22" s="14" t="s">
        <v>27</v>
      </c>
      <c r="E22" s="15" t="str">
        <f t="shared" si="1"/>
        <v>WAGES
gross</v>
      </c>
      <c r="F22" s="20" t="s">
        <v>61</v>
      </c>
      <c r="G22" s="23">
        <v>1</v>
      </c>
      <c r="H22" s="26">
        <v>0</v>
      </c>
      <c r="I22" s="27" t="s">
        <v>24</v>
      </c>
      <c r="J22" s="27"/>
      <c r="K22" s="36" t="s">
        <v>90</v>
      </c>
    </row>
    <row r="23" spans="1:33" x14ac:dyDescent="0.3">
      <c r="A23" s="12" t="s">
        <v>52</v>
      </c>
      <c r="B23" s="13">
        <v>22</v>
      </c>
      <c r="C23" s="14" t="s">
        <v>28</v>
      </c>
      <c r="D23" s="14" t="s">
        <v>24</v>
      </c>
      <c r="E23" s="15" t="str">
        <f t="shared" si="1"/>
        <v>% gross
Wages</v>
      </c>
      <c r="F23" s="20" t="s">
        <v>58</v>
      </c>
      <c r="G23" s="23">
        <v>2</v>
      </c>
      <c r="H23" s="26">
        <v>0</v>
      </c>
      <c r="I23" s="27"/>
      <c r="J23" s="27"/>
      <c r="K23" s="36" t="s">
        <v>108</v>
      </c>
    </row>
    <row r="24" spans="1:33" x14ac:dyDescent="0.3">
      <c r="A24" s="12" t="s">
        <v>44</v>
      </c>
      <c r="B24" s="13">
        <v>23</v>
      </c>
      <c r="C24" s="14" t="s">
        <v>19</v>
      </c>
      <c r="D24" s="14" t="s">
        <v>24</v>
      </c>
      <c r="E24" s="15" t="str">
        <f t="shared" si="1"/>
        <v>Base
Wages</v>
      </c>
      <c r="F24" s="20" t="s">
        <v>61</v>
      </c>
      <c r="G24" s="23">
        <v>1</v>
      </c>
      <c r="H24" s="26">
        <v>0</v>
      </c>
      <c r="I24" s="27"/>
      <c r="J24" s="27"/>
      <c r="K24" s="36" t="s">
        <v>113</v>
      </c>
    </row>
    <row r="25" spans="1:33" x14ac:dyDescent="0.3">
      <c r="A25" s="12" t="s">
        <v>51</v>
      </c>
      <c r="B25" s="13">
        <v>24</v>
      </c>
      <c r="C25" s="14" t="s">
        <v>30</v>
      </c>
      <c r="D25" s="14" t="s">
        <v>24</v>
      </c>
      <c r="E25" s="15" t="str">
        <f t="shared" si="1"/>
        <v>% base
Wages</v>
      </c>
      <c r="F25" s="20" t="s">
        <v>58</v>
      </c>
      <c r="G25" s="23">
        <v>2</v>
      </c>
      <c r="H25" s="26">
        <v>0</v>
      </c>
      <c r="I25" s="27"/>
      <c r="J25" s="27"/>
      <c r="K25" s="36" t="s">
        <v>114</v>
      </c>
    </row>
    <row r="26" spans="1:33" s="29" customFormat="1" x14ac:dyDescent="0.3">
      <c r="A26" s="12" t="s">
        <v>121</v>
      </c>
      <c r="B26" s="13">
        <v>25</v>
      </c>
      <c r="C26" s="14" t="s">
        <v>34</v>
      </c>
      <c r="D26" s="14" t="s">
        <v>24</v>
      </c>
      <c r="E26" s="15" t="str">
        <f t="shared" ref="E26:E27" si="4">CONCATENATE(C26, CHAR(10), D26)</f>
        <v>mult
Wages</v>
      </c>
      <c r="F26" s="20" t="s">
        <v>64</v>
      </c>
      <c r="G26" s="23">
        <v>2</v>
      </c>
      <c r="H26" s="26">
        <v>0</v>
      </c>
      <c r="I26" s="27"/>
      <c r="J26" s="27"/>
      <c r="K26" s="36" t="s">
        <v>122</v>
      </c>
      <c r="AG26" s="29" t="e">
        <f>VACoefficient * Exogenous</f>
        <v>#REF!</v>
      </c>
    </row>
    <row r="27" spans="1:33" s="55" customFormat="1" x14ac:dyDescent="0.3">
      <c r="A27" s="12" t="s">
        <v>146</v>
      </c>
      <c r="B27" s="13">
        <v>26</v>
      </c>
      <c r="C27" s="14" t="s">
        <v>149</v>
      </c>
      <c r="D27" s="14" t="s">
        <v>147</v>
      </c>
      <c r="E27" s="15" t="str">
        <f t="shared" si="4"/>
        <v>Wages/
Wage</v>
      </c>
      <c r="F27" s="20" t="s">
        <v>64</v>
      </c>
      <c r="G27" s="23">
        <v>0</v>
      </c>
      <c r="H27" s="26">
        <v>0</v>
      </c>
      <c r="I27" s="27"/>
      <c r="J27" s="27"/>
      <c r="K27" s="36" t="s">
        <v>148</v>
      </c>
    </row>
    <row r="28" spans="1:33" x14ac:dyDescent="0.3">
      <c r="A28" s="12" t="s">
        <v>45</v>
      </c>
      <c r="B28" s="13">
        <v>27</v>
      </c>
      <c r="C28" s="14" t="s">
        <v>25</v>
      </c>
      <c r="D28" s="14" t="s">
        <v>24</v>
      </c>
      <c r="E28" s="15" t="str">
        <f t="shared" si="1"/>
        <v>direct
Wages</v>
      </c>
      <c r="F28" s="20" t="s">
        <v>61</v>
      </c>
      <c r="G28" s="23">
        <v>0</v>
      </c>
      <c r="H28" s="26">
        <v>0</v>
      </c>
      <c r="I28" s="27"/>
      <c r="J28" s="27"/>
      <c r="K28" s="36" t="s">
        <v>115</v>
      </c>
    </row>
    <row r="29" spans="1:33" x14ac:dyDescent="0.3">
      <c r="A29" s="12" t="s">
        <v>46</v>
      </c>
      <c r="B29" s="13">
        <v>28</v>
      </c>
      <c r="C29" s="14" t="s">
        <v>26</v>
      </c>
      <c r="D29" s="14" t="s">
        <v>24</v>
      </c>
      <c r="E29" s="15" t="str">
        <f t="shared" si="1"/>
        <v>indirect
Wages</v>
      </c>
      <c r="F29" s="20" t="s">
        <v>61</v>
      </c>
      <c r="G29" s="23">
        <v>2</v>
      </c>
      <c r="H29" s="26">
        <v>0</v>
      </c>
      <c r="I29" s="27"/>
      <c r="J29" s="27"/>
      <c r="K29" s="36" t="s">
        <v>116</v>
      </c>
    </row>
    <row r="30" spans="1:33" x14ac:dyDescent="0.3">
      <c r="A30" s="12" t="s">
        <v>47</v>
      </c>
      <c r="B30" s="13">
        <v>29</v>
      </c>
      <c r="C30" s="14" t="s">
        <v>24</v>
      </c>
      <c r="D30" s="14" t="s">
        <v>21</v>
      </c>
      <c r="E30" s="15" t="str">
        <f t="shared" si="1"/>
        <v>Wages
Coefficient</v>
      </c>
      <c r="F30" s="20" t="s">
        <v>59</v>
      </c>
      <c r="G30" s="23">
        <v>3</v>
      </c>
      <c r="H30" s="26" t="b">
        <v>1</v>
      </c>
      <c r="I30" s="27"/>
      <c r="J30" s="27"/>
      <c r="K30" s="36" t="str">
        <f t="shared" si="2"/>
        <v>WagesCoefficient</v>
      </c>
    </row>
    <row r="31" spans="1:33" x14ac:dyDescent="0.3">
      <c r="A31" s="12" t="s">
        <v>100</v>
      </c>
      <c r="B31" s="13">
        <v>30</v>
      </c>
      <c r="C31" s="14" t="s">
        <v>141</v>
      </c>
      <c r="D31" s="14" t="s">
        <v>27</v>
      </c>
      <c r="E31" s="15" t="str">
        <f t="shared" si="1"/>
        <v>VALUE ADDED
gross</v>
      </c>
      <c r="F31" s="20" t="s">
        <v>61</v>
      </c>
      <c r="G31" s="23">
        <v>1</v>
      </c>
      <c r="H31" s="26">
        <v>0</v>
      </c>
      <c r="I31" s="27" t="s">
        <v>2</v>
      </c>
      <c r="J31" s="27"/>
      <c r="K31" s="36" t="str">
        <f t="shared" si="2"/>
        <v>VALUE ADDEDgross</v>
      </c>
    </row>
    <row r="32" spans="1:33" x14ac:dyDescent="0.3">
      <c r="A32" s="12" t="s">
        <v>50</v>
      </c>
      <c r="B32" s="13">
        <v>31</v>
      </c>
      <c r="C32" s="14" t="s">
        <v>16</v>
      </c>
      <c r="D32" s="14" t="s">
        <v>31</v>
      </c>
      <c r="E32" s="15" t="str">
        <f t="shared" si="1"/>
        <v>%
VA</v>
      </c>
      <c r="F32" s="20" t="s">
        <v>58</v>
      </c>
      <c r="G32" s="23">
        <v>2</v>
      </c>
      <c r="H32" s="26">
        <v>0</v>
      </c>
      <c r="I32" s="27"/>
      <c r="J32" s="27"/>
      <c r="K32" s="36" t="s">
        <v>109</v>
      </c>
    </row>
    <row r="33" spans="1:33" s="29" customFormat="1" x14ac:dyDescent="0.3">
      <c r="A33" s="12" t="s">
        <v>101</v>
      </c>
      <c r="B33" s="13">
        <v>32</v>
      </c>
      <c r="C33" s="14" t="s">
        <v>19</v>
      </c>
      <c r="D33" s="14" t="s">
        <v>2</v>
      </c>
      <c r="E33" s="15" t="str">
        <f t="shared" ref="E33:E37" si="5">CONCATENATE(C33, CHAR(10), D33)</f>
        <v>Base
Value Added</v>
      </c>
      <c r="F33" s="20" t="s">
        <v>61</v>
      </c>
      <c r="G33" s="23">
        <v>1</v>
      </c>
      <c r="H33" s="26">
        <v>0</v>
      </c>
      <c r="I33" s="27"/>
      <c r="J33" s="27"/>
      <c r="K33" s="36" t="str">
        <f t="shared" ref="K33" si="6">CONCATENATE(C33, "",D33)</f>
        <v>BaseValue Added</v>
      </c>
    </row>
    <row r="34" spans="1:33" s="29" customFormat="1" x14ac:dyDescent="0.3">
      <c r="A34" s="12" t="s">
        <v>102</v>
      </c>
      <c r="B34" s="13">
        <v>33</v>
      </c>
      <c r="C34" s="14" t="s">
        <v>30</v>
      </c>
      <c r="D34" s="14" t="s">
        <v>31</v>
      </c>
      <c r="E34" s="15" t="str">
        <f t="shared" si="5"/>
        <v>% base
VA</v>
      </c>
      <c r="F34" s="20" t="s">
        <v>58</v>
      </c>
      <c r="G34" s="23">
        <v>2</v>
      </c>
      <c r="H34" s="26">
        <v>0</v>
      </c>
      <c r="I34" s="27"/>
      <c r="J34" s="27"/>
      <c r="K34" s="36" t="s">
        <v>110</v>
      </c>
    </row>
    <row r="35" spans="1:33" s="29" customFormat="1" x14ac:dyDescent="0.3">
      <c r="A35" s="12" t="s">
        <v>123</v>
      </c>
      <c r="B35" s="13">
        <v>34</v>
      </c>
      <c r="C35" s="14" t="s">
        <v>34</v>
      </c>
      <c r="D35" s="14" t="s">
        <v>31</v>
      </c>
      <c r="E35" s="15" t="str">
        <f t="shared" si="5"/>
        <v>mult
VA</v>
      </c>
      <c r="F35" s="20" t="s">
        <v>124</v>
      </c>
      <c r="G35" s="23">
        <v>2</v>
      </c>
      <c r="H35" s="26">
        <v>0</v>
      </c>
      <c r="I35" s="27"/>
      <c r="J35" s="27"/>
      <c r="K35" s="36" t="s">
        <v>123</v>
      </c>
      <c r="AG35" s="29" t="e">
        <f>VACoefficient * Exogenous</f>
        <v>#REF!</v>
      </c>
    </row>
    <row r="36" spans="1:33" s="29" customFormat="1" x14ac:dyDescent="0.3">
      <c r="A36" s="12" t="s">
        <v>103</v>
      </c>
      <c r="B36" s="13">
        <v>35</v>
      </c>
      <c r="C36" s="14" t="s">
        <v>25</v>
      </c>
      <c r="D36" s="14" t="s">
        <v>2</v>
      </c>
      <c r="E36" s="15" t="str">
        <f t="shared" ref="E36" si="7">CONCATENATE(C36, CHAR(10), D36)</f>
        <v>direct
Value Added</v>
      </c>
      <c r="F36" s="20" t="s">
        <v>61</v>
      </c>
      <c r="G36" s="23">
        <v>2</v>
      </c>
      <c r="H36" s="26">
        <v>0</v>
      </c>
      <c r="I36" s="27"/>
      <c r="J36" s="27"/>
      <c r="K36" s="36" t="s">
        <v>111</v>
      </c>
    </row>
    <row r="37" spans="1:33" s="29" customFormat="1" x14ac:dyDescent="0.3">
      <c r="A37" s="12" t="s">
        <v>104</v>
      </c>
      <c r="B37" s="13">
        <v>36</v>
      </c>
      <c r="C37" s="14" t="s">
        <v>26</v>
      </c>
      <c r="D37" s="14"/>
      <c r="E37" s="15" t="str">
        <f t="shared" si="5"/>
        <v xml:space="preserve">indirect
</v>
      </c>
      <c r="F37" s="20" t="s">
        <v>61</v>
      </c>
      <c r="G37" s="23">
        <v>2</v>
      </c>
      <c r="H37" s="26">
        <v>0</v>
      </c>
      <c r="I37" s="27"/>
      <c r="J37" s="27"/>
      <c r="K37" s="36" t="s">
        <v>112</v>
      </c>
    </row>
    <row r="38" spans="1:33" x14ac:dyDescent="0.3">
      <c r="A38" s="12" t="s">
        <v>105</v>
      </c>
      <c r="B38" s="13">
        <v>37</v>
      </c>
      <c r="C38" s="14" t="s">
        <v>31</v>
      </c>
      <c r="D38" s="14" t="s">
        <v>21</v>
      </c>
      <c r="E38" s="15" t="str">
        <f t="shared" si="1"/>
        <v>VA
Coefficient</v>
      </c>
      <c r="F38" s="20" t="s">
        <v>59</v>
      </c>
      <c r="G38" s="23">
        <v>3</v>
      </c>
      <c r="H38" s="26" t="b">
        <v>1</v>
      </c>
      <c r="I38" s="27"/>
      <c r="J38" s="27"/>
      <c r="K38" s="36" t="str">
        <f t="shared" si="2"/>
        <v>VACoefficient</v>
      </c>
    </row>
    <row r="39" spans="1:33" x14ac:dyDescent="0.3">
      <c r="A39" s="12" t="s">
        <v>5</v>
      </c>
      <c r="B39" s="13">
        <v>38</v>
      </c>
      <c r="C39" s="14" t="s">
        <v>142</v>
      </c>
      <c r="D39" s="14"/>
      <c r="E39" s="15" t="str">
        <f>CONCATENATE(C39, CHAR(10), D39)</f>
        <v xml:space="preserve">EXOGENOUS
</v>
      </c>
      <c r="F39" s="20" t="s">
        <v>61</v>
      </c>
      <c r="G39" s="23">
        <v>0</v>
      </c>
      <c r="H39" s="26">
        <v>0</v>
      </c>
      <c r="I39" s="27" t="s">
        <v>85</v>
      </c>
      <c r="J39" s="27"/>
      <c r="K39" s="36" t="str">
        <f>CONCATENATE(C39, "",D39)</f>
        <v>EXOGENOUS</v>
      </c>
    </row>
    <row r="40" spans="1:33" x14ac:dyDescent="0.3">
      <c r="A40" s="12" t="s">
        <v>6</v>
      </c>
      <c r="B40" s="13">
        <v>39</v>
      </c>
      <c r="C40" s="14" t="s">
        <v>143</v>
      </c>
      <c r="D40" s="14"/>
      <c r="E40" s="15" t="str">
        <f>CONCATENATE(C40, CHAR(10), D40)</f>
        <v xml:space="preserve">ENDOGENOUS
</v>
      </c>
      <c r="F40" s="20" t="s">
        <v>61</v>
      </c>
      <c r="G40" s="23">
        <v>3</v>
      </c>
      <c r="H40" s="26">
        <v>0</v>
      </c>
      <c r="I40" s="27"/>
      <c r="J40" s="27"/>
      <c r="K40" s="36" t="str">
        <f>CONCATENATE(C40, "",D40)</f>
        <v>ENDOGENOUS</v>
      </c>
    </row>
    <row r="41" spans="1:33" x14ac:dyDescent="0.3">
      <c r="A41" s="18" t="s">
        <v>48</v>
      </c>
      <c r="B41" s="13">
        <v>40</v>
      </c>
      <c r="C41" s="5" t="s">
        <v>6</v>
      </c>
      <c r="D41" s="5" t="s">
        <v>23</v>
      </c>
      <c r="E41" s="53" t="str">
        <f>CONCATENATE(C41, CHAR(10), D41)</f>
        <v>Endogenous
Purchases</v>
      </c>
      <c r="F41" s="21" t="s">
        <v>58</v>
      </c>
      <c r="G41" s="25">
        <v>3</v>
      </c>
      <c r="H41" s="52">
        <v>0</v>
      </c>
      <c r="I41" s="54"/>
      <c r="J41" s="54"/>
      <c r="K41" s="38" t="s">
        <v>82</v>
      </c>
    </row>
    <row r="43" spans="1:33" x14ac:dyDescent="0.3">
      <c r="A43" s="8" t="s">
        <v>74</v>
      </c>
      <c r="B43" s="6"/>
      <c r="C43" s="6"/>
      <c r="D43" s="6"/>
      <c r="E43" s="7"/>
      <c r="F43" s="30"/>
      <c r="G43" s="6"/>
      <c r="H43" s="6"/>
    </row>
    <row r="44" spans="1:33" x14ac:dyDescent="0.3">
      <c r="A44" s="9" t="s">
        <v>208</v>
      </c>
      <c r="B44" s="6"/>
      <c r="C44" s="6"/>
      <c r="D44" s="6"/>
      <c r="E44" s="7"/>
      <c r="F44" s="30"/>
      <c r="G44" s="6"/>
      <c r="H44" s="6"/>
    </row>
    <row r="45" spans="1:33" x14ac:dyDescent="0.3">
      <c r="A45" s="10" t="s">
        <v>75</v>
      </c>
      <c r="B45" s="6"/>
      <c r="C45" s="6"/>
      <c r="D45" s="6"/>
      <c r="E45" s="7"/>
      <c r="F45" s="30"/>
      <c r="G45" s="6"/>
      <c r="H45" s="6"/>
    </row>
    <row r="46" spans="1:33" x14ac:dyDescent="0.3">
      <c r="A46" s="10" t="s">
        <v>76</v>
      </c>
      <c r="B46" s="6"/>
      <c r="C46" s="6"/>
      <c r="D46" s="6"/>
      <c r="E46" s="7"/>
      <c r="F46" s="30"/>
      <c r="G46" s="6"/>
      <c r="H46" s="6"/>
    </row>
    <row r="47" spans="1:33" x14ac:dyDescent="0.3">
      <c r="A47" s="10" t="s">
        <v>77</v>
      </c>
      <c r="B47" s="6"/>
      <c r="C47" s="6"/>
      <c r="D47" s="6"/>
      <c r="E47" s="7"/>
      <c r="F47" s="30"/>
      <c r="G47" s="6"/>
      <c r="H47" s="6"/>
    </row>
    <row r="48" spans="1:33" x14ac:dyDescent="0.3">
      <c r="A48" s="10" t="s">
        <v>78</v>
      </c>
      <c r="B48" s="6"/>
      <c r="C48" s="6"/>
      <c r="D48" s="6"/>
      <c r="E48" s="7"/>
      <c r="F48" s="30"/>
      <c r="G48" s="6"/>
      <c r="H48" s="6"/>
    </row>
    <row r="49" spans="1:11" x14ac:dyDescent="0.3">
      <c r="A49" s="10" t="s">
        <v>83</v>
      </c>
      <c r="B49" s="6"/>
      <c r="C49" s="6"/>
      <c r="D49" s="6"/>
      <c r="E49" s="7"/>
      <c r="F49" s="30"/>
      <c r="G49" s="6"/>
      <c r="H49" s="6"/>
    </row>
    <row r="50" spans="1:11" x14ac:dyDescent="0.3">
      <c r="A50" s="10" t="s">
        <v>94</v>
      </c>
      <c r="B50" s="6"/>
      <c r="C50" s="6"/>
      <c r="D50" s="6"/>
      <c r="E50" s="7"/>
      <c r="F50" s="30"/>
      <c r="G50" s="6"/>
      <c r="H50" s="6"/>
    </row>
    <row r="51" spans="1:11" x14ac:dyDescent="0.3">
      <c r="A51" s="29">
        <v>1</v>
      </c>
      <c r="B51" s="29">
        <v>2</v>
      </c>
      <c r="C51" s="29">
        <v>3</v>
      </c>
      <c r="D51" s="29">
        <v>4</v>
      </c>
      <c r="E51" s="29">
        <v>5</v>
      </c>
      <c r="F51" s="31">
        <v>6</v>
      </c>
      <c r="G51" s="29">
        <v>7</v>
      </c>
      <c r="H51" s="29">
        <v>8</v>
      </c>
      <c r="I51" s="29">
        <v>9</v>
      </c>
      <c r="J51" s="29">
        <v>10</v>
      </c>
      <c r="K51" s="29">
        <v>11</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32"/>
  <sheetViews>
    <sheetView zoomScaleNormal="100" workbookViewId="0">
      <selection sqref="A1:F1"/>
    </sheetView>
  </sheetViews>
  <sheetFormatPr defaultColWidth="7.44140625" defaultRowHeight="17.399999999999999" x14ac:dyDescent="0.25"/>
  <cols>
    <col min="1" max="1" width="4.33203125" style="66" customWidth="1"/>
    <col min="2" max="2" width="5.33203125" style="3" customWidth="1"/>
    <col min="3" max="3" width="2.109375" style="138" customWidth="1"/>
    <col min="4" max="4" width="35.77734375" style="146" customWidth="1"/>
    <col min="5" max="6" width="2.88671875" style="3" customWidth="1"/>
    <col min="7" max="7" width="1.5546875" style="3" customWidth="1"/>
    <col min="8" max="8" width="1.5546875" style="82" customWidth="1"/>
    <col min="9" max="9" width="48" style="3" customWidth="1"/>
    <col min="10" max="10" width="2.44140625" style="3" customWidth="1"/>
    <col min="11" max="16384" width="7.44140625" style="3"/>
  </cols>
  <sheetData>
    <row r="1" spans="1:10" s="57" customFormat="1" ht="26.4" customHeight="1" x14ac:dyDescent="0.25">
      <c r="A1" s="158" t="s">
        <v>233</v>
      </c>
      <c r="B1" s="80"/>
      <c r="C1" s="134"/>
      <c r="D1" s="140"/>
      <c r="E1" s="81"/>
      <c r="F1" s="81" t="s">
        <v>234</v>
      </c>
      <c r="G1" s="56"/>
      <c r="H1" s="147"/>
      <c r="I1" s="148" t="s">
        <v>212</v>
      </c>
      <c r="J1" s="149"/>
    </row>
    <row r="2" spans="1:10" s="119" customFormat="1" ht="19.2" customHeight="1" x14ac:dyDescent="0.25">
      <c r="A2" s="116" t="s">
        <v>14</v>
      </c>
      <c r="B2" s="115"/>
      <c r="C2" s="127"/>
      <c r="D2" s="117"/>
      <c r="E2" s="126"/>
      <c r="F2" s="128"/>
      <c r="G2" s="118"/>
      <c r="H2" s="150"/>
      <c r="I2" s="151" t="s">
        <v>213</v>
      </c>
      <c r="J2" s="128"/>
    </row>
    <row r="3" spans="1:10" s="65" customFormat="1" ht="6.6" hidden="1" customHeight="1" x14ac:dyDescent="0.3">
      <c r="A3" s="131"/>
      <c r="B3" s="67"/>
      <c r="C3" s="135"/>
      <c r="D3" s="78"/>
      <c r="E3" s="67"/>
      <c r="F3" s="129"/>
      <c r="G3" s="64"/>
      <c r="H3" s="152"/>
      <c r="I3" s="153"/>
      <c r="J3" s="154"/>
    </row>
    <row r="4" spans="1:10" ht="18.75" customHeight="1" x14ac:dyDescent="0.25">
      <c r="A4" s="132"/>
      <c r="B4" s="28"/>
      <c r="C4" s="136" t="s">
        <v>230</v>
      </c>
      <c r="D4" s="141"/>
      <c r="E4" s="28"/>
      <c r="F4" s="28"/>
      <c r="G4" s="32">
        <v>1000</v>
      </c>
      <c r="H4" s="155"/>
      <c r="I4" s="156" t="s">
        <v>216</v>
      </c>
      <c r="J4" s="28"/>
    </row>
    <row r="5" spans="1:10" ht="35.25" customHeight="1" x14ac:dyDescent="0.25">
      <c r="A5" s="132"/>
      <c r="B5" s="28"/>
      <c r="C5" s="136"/>
      <c r="D5" s="141" t="s">
        <v>231</v>
      </c>
      <c r="E5" s="28"/>
      <c r="F5" s="28"/>
      <c r="H5" s="28"/>
      <c r="I5" s="178" t="s">
        <v>215</v>
      </c>
      <c r="J5" s="28"/>
    </row>
    <row r="6" spans="1:10" ht="13.8" customHeight="1" x14ac:dyDescent="0.25">
      <c r="A6" s="132"/>
      <c r="B6" s="28"/>
      <c r="C6" s="136" t="s">
        <v>67</v>
      </c>
      <c r="D6" s="141"/>
      <c r="E6" s="28"/>
      <c r="F6" s="28"/>
      <c r="H6" s="28"/>
      <c r="I6" s="178"/>
      <c r="J6" s="28"/>
    </row>
    <row r="7" spans="1:10" ht="13.8" customHeight="1" x14ac:dyDescent="0.25">
      <c r="A7" s="132"/>
      <c r="B7" s="28"/>
      <c r="C7" s="136"/>
      <c r="D7" s="141" t="s">
        <v>232</v>
      </c>
      <c r="E7" s="28"/>
      <c r="F7" s="28"/>
      <c r="H7" s="28"/>
      <c r="I7" s="178"/>
      <c r="J7" s="28"/>
    </row>
    <row r="8" spans="1:10" ht="12.6" customHeight="1" x14ac:dyDescent="0.25">
      <c r="A8" s="132"/>
      <c r="B8" s="28"/>
      <c r="C8" s="136" t="s">
        <v>7</v>
      </c>
      <c r="D8" s="141"/>
      <c r="E8" s="28"/>
      <c r="F8" s="28"/>
      <c r="H8" s="28"/>
      <c r="I8" s="178" t="s">
        <v>214</v>
      </c>
      <c r="J8" s="28"/>
    </row>
    <row r="9" spans="1:10" ht="93" customHeight="1" x14ac:dyDescent="0.25">
      <c r="A9" s="132"/>
      <c r="B9" s="28"/>
      <c r="C9" s="136"/>
      <c r="D9" s="141" t="s">
        <v>235</v>
      </c>
      <c r="E9" s="28"/>
      <c r="F9" s="28"/>
      <c r="G9" s="32">
        <v>1</v>
      </c>
      <c r="H9" s="155"/>
      <c r="I9" s="178"/>
      <c r="J9" s="28"/>
    </row>
    <row r="10" spans="1:10" s="33" customFormat="1" ht="24.6" customHeight="1" x14ac:dyDescent="0.3">
      <c r="A10" s="133"/>
      <c r="B10" s="125"/>
      <c r="C10" s="136"/>
      <c r="D10" s="142" t="s">
        <v>96</v>
      </c>
      <c r="E10" s="125"/>
      <c r="F10" s="125"/>
      <c r="H10" s="125"/>
      <c r="I10" s="157"/>
      <c r="J10" s="125"/>
    </row>
    <row r="11" spans="1:10" ht="15.75" customHeight="1" x14ac:dyDescent="0.25">
      <c r="A11" s="132"/>
      <c r="B11" s="28"/>
      <c r="C11" s="136" t="s">
        <v>8</v>
      </c>
      <c r="D11" s="141"/>
      <c r="E11" s="28"/>
      <c r="F11" s="28"/>
      <c r="H11" s="28"/>
      <c r="I11" s="159" t="s">
        <v>206</v>
      </c>
      <c r="J11" s="28"/>
    </row>
    <row r="12" spans="1:10" ht="33.6" customHeight="1" x14ac:dyDescent="0.25">
      <c r="A12" s="132"/>
      <c r="B12" s="28"/>
      <c r="C12" s="136"/>
      <c r="D12" s="141" t="s">
        <v>9</v>
      </c>
      <c r="E12" s="28"/>
      <c r="F12" s="28"/>
      <c r="H12" s="28"/>
      <c r="I12" s="160" t="s">
        <v>218</v>
      </c>
      <c r="J12" s="28"/>
    </row>
    <row r="13" spans="1:10" ht="14.25" customHeight="1" x14ac:dyDescent="0.25">
      <c r="A13" s="132"/>
      <c r="B13" s="28"/>
      <c r="C13" s="136" t="s">
        <v>165</v>
      </c>
      <c r="D13" s="141"/>
      <c r="E13" s="28"/>
      <c r="F13" s="28"/>
      <c r="H13" s="28"/>
      <c r="I13" s="161" t="s">
        <v>217</v>
      </c>
      <c r="J13" s="28"/>
    </row>
    <row r="14" spans="1:10" ht="10.5" customHeight="1" x14ac:dyDescent="0.25">
      <c r="A14" s="132"/>
      <c r="B14" s="28"/>
      <c r="C14" s="136"/>
      <c r="D14" s="141"/>
      <c r="E14" s="28"/>
      <c r="F14" s="28"/>
      <c r="H14" s="28"/>
      <c r="I14" s="28"/>
      <c r="J14" s="28"/>
    </row>
    <row r="15" spans="1:10" s="122" customFormat="1" ht="19.2" customHeight="1" x14ac:dyDescent="0.3">
      <c r="A15" s="116" t="s">
        <v>13</v>
      </c>
      <c r="B15" s="120"/>
      <c r="C15" s="121"/>
      <c r="D15" s="143"/>
      <c r="E15" s="120"/>
      <c r="F15" s="120"/>
      <c r="H15" s="120"/>
      <c r="I15" s="120"/>
      <c r="J15" s="120"/>
    </row>
    <row r="16" spans="1:10" ht="5.25" customHeight="1" x14ac:dyDescent="0.25">
      <c r="A16" s="132"/>
      <c r="B16" s="28"/>
      <c r="C16" s="136"/>
      <c r="D16" s="141"/>
      <c r="E16" s="28"/>
      <c r="F16" s="28"/>
      <c r="H16" s="28"/>
      <c r="I16" s="28"/>
      <c r="J16" s="28"/>
    </row>
    <row r="17" spans="1:10" ht="18.75" customHeight="1" x14ac:dyDescent="0.25">
      <c r="A17" s="132"/>
      <c r="B17" s="28"/>
      <c r="C17" s="136" t="s">
        <v>10</v>
      </c>
      <c r="D17" s="141"/>
      <c r="E17" s="28"/>
      <c r="F17" s="28"/>
      <c r="H17" s="28"/>
      <c r="I17" s="28"/>
      <c r="J17" s="28"/>
    </row>
    <row r="18" spans="1:10" ht="20.399999999999999" x14ac:dyDescent="0.25">
      <c r="A18" s="132"/>
      <c r="B18" s="28"/>
      <c r="C18" s="136"/>
      <c r="D18" s="141" t="s">
        <v>11</v>
      </c>
      <c r="E18" s="28"/>
      <c r="F18" s="28"/>
      <c r="H18" s="28"/>
      <c r="I18" s="28"/>
      <c r="J18" s="28"/>
    </row>
    <row r="19" spans="1:10" x14ac:dyDescent="0.25">
      <c r="A19" s="132"/>
      <c r="B19" s="28"/>
      <c r="C19" s="136" t="s">
        <v>12</v>
      </c>
      <c r="D19" s="141"/>
      <c r="E19" s="28"/>
      <c r="F19" s="28"/>
      <c r="H19" s="28"/>
      <c r="I19" s="28"/>
      <c r="J19" s="28"/>
    </row>
    <row r="20" spans="1:10" ht="30.6" x14ac:dyDescent="0.25">
      <c r="A20" s="132"/>
      <c r="B20" s="28"/>
      <c r="C20" s="136"/>
      <c r="D20" s="141" t="s">
        <v>227</v>
      </c>
      <c r="E20" s="28"/>
      <c r="F20" s="28"/>
      <c r="H20" s="28"/>
      <c r="I20" s="28"/>
      <c r="J20" s="28"/>
    </row>
    <row r="21" spans="1:10" ht="9" customHeight="1" x14ac:dyDescent="0.25">
      <c r="A21" s="132"/>
      <c r="B21" s="28"/>
      <c r="C21" s="136"/>
      <c r="D21" s="141"/>
      <c r="E21" s="28"/>
      <c r="F21" s="28"/>
      <c r="H21" s="28"/>
      <c r="I21" s="28"/>
      <c r="J21" s="28"/>
    </row>
    <row r="22" spans="1:10" s="124" customFormat="1" ht="19.2" customHeight="1" x14ac:dyDescent="0.3">
      <c r="A22" s="116" t="s">
        <v>71</v>
      </c>
      <c r="B22" s="123"/>
      <c r="C22" s="121"/>
      <c r="D22" s="144"/>
      <c r="E22" s="123"/>
      <c r="F22" s="123"/>
      <c r="H22" s="123"/>
      <c r="I22" s="123"/>
      <c r="J22" s="123"/>
    </row>
    <row r="23" spans="1:10" x14ac:dyDescent="0.25">
      <c r="A23" s="130"/>
      <c r="B23" s="28"/>
      <c r="C23" s="136" t="s">
        <v>72</v>
      </c>
      <c r="D23" s="141"/>
      <c r="E23" s="28"/>
      <c r="F23" s="28"/>
      <c r="H23" s="28"/>
      <c r="I23" s="28"/>
      <c r="J23" s="28"/>
    </row>
    <row r="24" spans="1:10" ht="20.399999999999999" x14ac:dyDescent="0.25">
      <c r="A24" s="130"/>
      <c r="B24" s="28"/>
      <c r="C24" s="136"/>
      <c r="D24" s="141" t="s">
        <v>73</v>
      </c>
      <c r="E24" s="28"/>
      <c r="F24" s="28"/>
      <c r="H24" s="28"/>
      <c r="I24" s="28"/>
      <c r="J24" s="28"/>
    </row>
    <row r="25" spans="1:10" ht="8.25" customHeight="1" x14ac:dyDescent="0.25">
      <c r="A25" s="130"/>
      <c r="B25" s="28"/>
      <c r="C25" s="136"/>
      <c r="D25" s="141"/>
      <c r="E25" s="28"/>
      <c r="F25" s="28"/>
      <c r="H25" s="28"/>
      <c r="I25" s="28"/>
      <c r="J25" s="28"/>
    </row>
    <row r="26" spans="1:10" ht="3" customHeight="1" x14ac:dyDescent="0.25">
      <c r="A26" s="130"/>
      <c r="B26" s="28"/>
      <c r="C26" s="136"/>
      <c r="D26" s="141"/>
      <c r="E26" s="28"/>
      <c r="F26" s="28"/>
      <c r="H26" s="28"/>
      <c r="I26" s="28"/>
      <c r="J26" s="28"/>
    </row>
    <row r="27" spans="1:10" ht="4.8" customHeight="1" x14ac:dyDescent="0.3">
      <c r="A27" s="130"/>
      <c r="B27" s="28"/>
      <c r="C27" s="137"/>
      <c r="D27" s="145"/>
      <c r="E27" s="28"/>
      <c r="F27" s="28"/>
      <c r="H27" s="28"/>
      <c r="I27" s="28"/>
      <c r="J27" s="28"/>
    </row>
    <row r="28" spans="1:10" x14ac:dyDescent="0.25">
      <c r="A28" s="130"/>
    </row>
    <row r="29" spans="1:10" x14ac:dyDescent="0.3">
      <c r="D29" s="139"/>
    </row>
    <row r="32" spans="1:10" x14ac:dyDescent="0.3">
      <c r="D32" s="139"/>
    </row>
  </sheetData>
  <sheetProtection sheet="1" objects="1" scenarios="1" selectLockedCells="1"/>
  <mergeCells count="2">
    <mergeCell ref="I5:I7"/>
    <mergeCell ref="I8:I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6" r:id="rId4" name="Option Button 12">
              <controlPr defaultSize="0" autoFill="0" autoLine="0" autoPict="0">
                <anchor moveWithCells="1">
                  <from>
                    <xdr:col>2</xdr:col>
                    <xdr:colOff>0</xdr:colOff>
                    <xdr:row>8</xdr:row>
                    <xdr:rowOff>670560</xdr:rowOff>
                  </from>
                  <to>
                    <xdr:col>4</xdr:col>
                    <xdr:colOff>7620</xdr:colOff>
                    <xdr:row>8</xdr:row>
                    <xdr:rowOff>838200</xdr:rowOff>
                  </to>
                </anchor>
              </controlPr>
            </control>
          </mc:Choice>
        </mc:AlternateContent>
        <mc:AlternateContent xmlns:mc="http://schemas.openxmlformats.org/markup-compatibility/2006">
          <mc:Choice Requires="x14">
            <control shapeId="6157" r:id="rId5" name="Option Button 13">
              <controlPr locked="0" defaultSize="0" autoFill="0" autoLine="0" autoPict="0">
                <anchor moveWithCells="1">
                  <from>
                    <xdr:col>2</xdr:col>
                    <xdr:colOff>0</xdr:colOff>
                    <xdr:row>8</xdr:row>
                    <xdr:rowOff>845820</xdr:rowOff>
                  </from>
                  <to>
                    <xdr:col>4</xdr:col>
                    <xdr:colOff>7620</xdr:colOff>
                    <xdr:row>8</xdr:row>
                    <xdr:rowOff>1005840</xdr:rowOff>
                  </to>
                </anchor>
              </controlPr>
            </control>
          </mc:Choice>
        </mc:AlternateContent>
        <mc:AlternateContent xmlns:mc="http://schemas.openxmlformats.org/markup-compatibility/2006">
          <mc:Choice Requires="x14">
            <control shapeId="6158" r:id="rId6" name="Option Button 14">
              <controlPr locked="0" defaultSize="0" autoFill="0" autoLine="0" autoPict="0">
                <anchor moveWithCells="1">
                  <from>
                    <xdr:col>2</xdr:col>
                    <xdr:colOff>0</xdr:colOff>
                    <xdr:row>8</xdr:row>
                    <xdr:rowOff>1013460</xdr:rowOff>
                  </from>
                  <to>
                    <xdr:col>4</xdr:col>
                    <xdr:colOff>7620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heetPr>
  <dimension ref="A1:B60"/>
  <sheetViews>
    <sheetView workbookViewId="0">
      <selection sqref="A1:B1"/>
    </sheetView>
  </sheetViews>
  <sheetFormatPr defaultRowHeight="14.4" outlineLevelRow="1" x14ac:dyDescent="0.3"/>
  <cols>
    <col min="1" max="1" width="5.109375" style="77" customWidth="1"/>
    <col min="2" max="2" width="80.6640625" style="63" customWidth="1"/>
  </cols>
  <sheetData>
    <row r="1" spans="1:2" s="55" customFormat="1" ht="27.75" customHeight="1" x14ac:dyDescent="0.3">
      <c r="A1" s="183" t="s">
        <v>166</v>
      </c>
      <c r="B1" s="184"/>
    </row>
    <row r="2" spans="1:2" s="55" customFormat="1" collapsed="1" x14ac:dyDescent="0.3">
      <c r="A2" s="179" t="s">
        <v>207</v>
      </c>
      <c r="B2" s="180"/>
    </row>
    <row r="3" spans="1:2" s="55" customFormat="1" ht="43.5" hidden="1" customHeight="1" outlineLevel="1" x14ac:dyDescent="0.3">
      <c r="A3" s="73"/>
      <c r="B3" s="69" t="s">
        <v>209</v>
      </c>
    </row>
    <row r="4" spans="1:2" s="55" customFormat="1" collapsed="1" x14ac:dyDescent="0.3">
      <c r="A4" s="179" t="s">
        <v>201</v>
      </c>
      <c r="B4" s="180"/>
    </row>
    <row r="5" spans="1:2" s="55" customFormat="1" ht="43.5" hidden="1" customHeight="1" outlineLevel="1" x14ac:dyDescent="0.3">
      <c r="A5" s="73"/>
      <c r="B5" s="69" t="s">
        <v>203</v>
      </c>
    </row>
    <row r="6" spans="1:2" s="55" customFormat="1" hidden="1" outlineLevel="1" x14ac:dyDescent="0.3">
      <c r="A6" s="74"/>
      <c r="B6" s="58" t="s">
        <v>193</v>
      </c>
    </row>
    <row r="7" spans="1:2" s="55" customFormat="1" ht="24.75" hidden="1" customHeight="1" outlineLevel="1" x14ac:dyDescent="0.3">
      <c r="A7" s="75"/>
      <c r="B7" s="69" t="s">
        <v>153</v>
      </c>
    </row>
    <row r="8" spans="1:2" s="55" customFormat="1" ht="27.6" hidden="1" outlineLevel="1" x14ac:dyDescent="0.3">
      <c r="A8" s="75"/>
      <c r="B8" s="70" t="s">
        <v>168</v>
      </c>
    </row>
    <row r="9" spans="1:2" s="55" customFormat="1" hidden="1" outlineLevel="1" x14ac:dyDescent="0.3">
      <c r="A9" s="75"/>
      <c r="B9" s="70" t="s">
        <v>169</v>
      </c>
    </row>
    <row r="10" spans="1:2" s="55" customFormat="1" hidden="1" outlineLevel="1" x14ac:dyDescent="0.3">
      <c r="A10" s="75"/>
      <c r="B10" s="70" t="s">
        <v>170</v>
      </c>
    </row>
    <row r="11" spans="1:2" s="55" customFormat="1" hidden="1" outlineLevel="1" x14ac:dyDescent="0.3">
      <c r="A11" s="75"/>
      <c r="B11" s="70" t="s">
        <v>171</v>
      </c>
    </row>
    <row r="12" spans="1:2" s="55" customFormat="1" hidden="1" outlineLevel="1" x14ac:dyDescent="0.3">
      <c r="A12" s="75"/>
      <c r="B12" s="70" t="s">
        <v>172</v>
      </c>
    </row>
    <row r="13" spans="1:2" s="55" customFormat="1" hidden="1" outlineLevel="1" x14ac:dyDescent="0.3">
      <c r="A13" s="75"/>
      <c r="B13" s="70" t="s">
        <v>173</v>
      </c>
    </row>
    <row r="14" spans="1:2" s="55" customFormat="1" hidden="1" outlineLevel="1" x14ac:dyDescent="0.3">
      <c r="A14" s="75"/>
      <c r="B14" s="70" t="s">
        <v>174</v>
      </c>
    </row>
    <row r="15" spans="1:2" s="55" customFormat="1" ht="41.4" hidden="1" outlineLevel="1" x14ac:dyDescent="0.3">
      <c r="A15" s="75"/>
      <c r="B15" s="70" t="s">
        <v>191</v>
      </c>
    </row>
    <row r="16" spans="1:2" ht="31.5" customHeight="1" collapsed="1" x14ac:dyDescent="0.3">
      <c r="A16" s="179" t="s">
        <v>200</v>
      </c>
      <c r="B16" s="180"/>
    </row>
    <row r="17" spans="1:2" ht="43.5" hidden="1" customHeight="1" outlineLevel="1" x14ac:dyDescent="0.3">
      <c r="A17" s="73"/>
      <c r="B17" s="69" t="s">
        <v>194</v>
      </c>
    </row>
    <row r="18" spans="1:2" s="55" customFormat="1" ht="27.6" hidden="1" outlineLevel="1" x14ac:dyDescent="0.3">
      <c r="A18" s="74"/>
      <c r="B18" s="58" t="s">
        <v>204</v>
      </c>
    </row>
    <row r="19" spans="1:2" s="55" customFormat="1" ht="34.5" customHeight="1" collapsed="1" x14ac:dyDescent="0.3">
      <c r="A19" s="181" t="s">
        <v>202</v>
      </c>
      <c r="B19" s="182"/>
    </row>
    <row r="20" spans="1:2" ht="27.6" hidden="1" outlineLevel="1" x14ac:dyDescent="0.3">
      <c r="A20" s="75"/>
      <c r="B20" s="69" t="s">
        <v>192</v>
      </c>
    </row>
    <row r="21" spans="1:2" hidden="1" outlineLevel="1" x14ac:dyDescent="0.3">
      <c r="A21" s="75"/>
      <c r="B21" s="69" t="s">
        <v>154</v>
      </c>
    </row>
    <row r="22" spans="1:2" hidden="1" outlineLevel="1" x14ac:dyDescent="0.3">
      <c r="A22" s="75"/>
      <c r="B22" s="70" t="s">
        <v>175</v>
      </c>
    </row>
    <row r="23" spans="1:2" hidden="1" outlineLevel="1" x14ac:dyDescent="0.3">
      <c r="A23" s="75"/>
      <c r="B23" s="70" t="s">
        <v>176</v>
      </c>
    </row>
    <row r="24" spans="1:2" hidden="1" outlineLevel="1" x14ac:dyDescent="0.3">
      <c r="A24" s="75"/>
      <c r="B24" s="70" t="s">
        <v>177</v>
      </c>
    </row>
    <row r="25" spans="1:2" hidden="1" outlineLevel="1" x14ac:dyDescent="0.3">
      <c r="A25" s="75"/>
      <c r="B25" s="70" t="s">
        <v>178</v>
      </c>
    </row>
    <row r="26" spans="1:2" hidden="1" outlineLevel="1" x14ac:dyDescent="0.3">
      <c r="A26" s="75"/>
      <c r="B26" s="70" t="s">
        <v>179</v>
      </c>
    </row>
    <row r="27" spans="1:2" ht="30.75" hidden="1" customHeight="1" outlineLevel="1" x14ac:dyDescent="0.3">
      <c r="A27" s="75"/>
      <c r="B27" s="71" t="s">
        <v>180</v>
      </c>
    </row>
    <row r="28" spans="1:2" ht="82.8" hidden="1" outlineLevel="1" x14ac:dyDescent="0.3">
      <c r="A28" s="75"/>
      <c r="B28" s="71" t="s">
        <v>181</v>
      </c>
    </row>
    <row r="29" spans="1:2" ht="27.6" hidden="1" outlineLevel="1" x14ac:dyDescent="0.3">
      <c r="A29" s="75"/>
      <c r="B29" s="71" t="s">
        <v>182</v>
      </c>
    </row>
    <row r="30" spans="1:2" ht="69" hidden="1" outlineLevel="1" x14ac:dyDescent="0.3">
      <c r="A30" s="75"/>
      <c r="B30" s="72" t="s">
        <v>155</v>
      </c>
    </row>
    <row r="31" spans="1:2" ht="41.4" hidden="1" outlineLevel="1" x14ac:dyDescent="0.3">
      <c r="A31" s="75"/>
      <c r="B31" s="71" t="s">
        <v>183</v>
      </c>
    </row>
    <row r="32" spans="1:2" ht="27.6" hidden="1" outlineLevel="1" x14ac:dyDescent="0.3">
      <c r="A32" s="75"/>
      <c r="B32" s="71" t="s">
        <v>184</v>
      </c>
    </row>
    <row r="33" spans="1:2" ht="72" hidden="1" customHeight="1" outlineLevel="1" x14ac:dyDescent="0.3">
      <c r="A33" s="75"/>
      <c r="B33" s="68" t="s">
        <v>185</v>
      </c>
    </row>
    <row r="34" spans="1:2" ht="71.25" hidden="1" customHeight="1" outlineLevel="1" x14ac:dyDescent="0.3">
      <c r="A34" s="75"/>
      <c r="B34" s="69" t="s">
        <v>156</v>
      </c>
    </row>
    <row r="35" spans="1:2" ht="71.25" hidden="1" customHeight="1" outlineLevel="1" x14ac:dyDescent="0.3">
      <c r="A35" s="75"/>
      <c r="B35" s="69" t="s">
        <v>157</v>
      </c>
    </row>
    <row r="36" spans="1:2" ht="19.5" hidden="1" customHeight="1" outlineLevel="1" x14ac:dyDescent="0.3">
      <c r="A36" s="75"/>
      <c r="B36" s="69" t="s">
        <v>158</v>
      </c>
    </row>
    <row r="37" spans="1:2" ht="18.75" hidden="1" customHeight="1" outlineLevel="1" x14ac:dyDescent="0.3">
      <c r="A37" s="75"/>
      <c r="B37" s="69" t="s">
        <v>159</v>
      </c>
    </row>
    <row r="38" spans="1:2" ht="39" hidden="1" customHeight="1" outlineLevel="1" x14ac:dyDescent="0.3">
      <c r="A38" s="75"/>
      <c r="B38" s="69" t="s">
        <v>160</v>
      </c>
    </row>
    <row r="39" spans="1:2" ht="21.75" hidden="1" customHeight="1" outlineLevel="1" x14ac:dyDescent="0.3">
      <c r="A39" s="75"/>
      <c r="B39" s="69" t="s">
        <v>161</v>
      </c>
    </row>
    <row r="40" spans="1:2" ht="21" hidden="1" customHeight="1" outlineLevel="1" x14ac:dyDescent="0.3">
      <c r="A40" s="75"/>
      <c r="B40" s="69" t="s">
        <v>162</v>
      </c>
    </row>
    <row r="41" spans="1:2" ht="31.5" hidden="1" customHeight="1" outlineLevel="1" x14ac:dyDescent="0.3">
      <c r="A41" s="75"/>
      <c r="B41" s="69" t="s">
        <v>163</v>
      </c>
    </row>
    <row r="42" spans="1:2" ht="31.5" hidden="1" customHeight="1" outlineLevel="1" x14ac:dyDescent="0.3">
      <c r="A42" s="75"/>
      <c r="B42" s="69" t="s">
        <v>186</v>
      </c>
    </row>
    <row r="43" spans="1:2" ht="23.25" hidden="1" customHeight="1" outlineLevel="1" x14ac:dyDescent="0.3">
      <c r="A43" s="75"/>
      <c r="B43" s="69" t="s">
        <v>164</v>
      </c>
    </row>
    <row r="44" spans="1:2" ht="15.75" customHeight="1" collapsed="1" x14ac:dyDescent="0.3">
      <c r="A44" s="74" t="s">
        <v>190</v>
      </c>
      <c r="B44" s="59"/>
    </row>
    <row r="45" spans="1:2" ht="110.4" hidden="1" outlineLevel="1" x14ac:dyDescent="0.3">
      <c r="A45" s="74"/>
      <c r="B45" s="60" t="s">
        <v>144</v>
      </c>
    </row>
    <row r="46" spans="1:2" ht="15.75" customHeight="1" collapsed="1" x14ac:dyDescent="0.3">
      <c r="A46" s="74" t="s">
        <v>195</v>
      </c>
      <c r="B46" s="60"/>
    </row>
    <row r="47" spans="1:2" ht="27.6" hidden="1" outlineLevel="1" x14ac:dyDescent="0.3">
      <c r="A47" s="74"/>
      <c r="B47" s="60" t="s">
        <v>187</v>
      </c>
    </row>
    <row r="48" spans="1:2" s="55" customFormat="1" ht="15.75" customHeight="1" collapsed="1" x14ac:dyDescent="0.3">
      <c r="A48" s="74" t="s">
        <v>196</v>
      </c>
      <c r="B48" s="60"/>
    </row>
    <row r="49" spans="1:2" s="55" customFormat="1" ht="55.2" hidden="1" outlineLevel="1" x14ac:dyDescent="0.3">
      <c r="A49" s="74"/>
      <c r="B49" s="60" t="s">
        <v>189</v>
      </c>
    </row>
    <row r="50" spans="1:2" ht="15.75" customHeight="1" collapsed="1" x14ac:dyDescent="0.3">
      <c r="A50" s="74" t="s">
        <v>197</v>
      </c>
      <c r="B50" s="60"/>
    </row>
    <row r="51" spans="1:2" ht="55.2" hidden="1" outlineLevel="1" x14ac:dyDescent="0.3">
      <c r="A51" s="74"/>
      <c r="B51" s="60" t="s">
        <v>145</v>
      </c>
    </row>
    <row r="52" spans="1:2" ht="15.75" customHeight="1" collapsed="1" x14ac:dyDescent="0.3">
      <c r="A52" s="74" t="s">
        <v>198</v>
      </c>
      <c r="B52" s="60"/>
    </row>
    <row r="53" spans="1:2" ht="27.6" hidden="1" outlineLevel="1" x14ac:dyDescent="0.3">
      <c r="A53" s="75"/>
      <c r="B53" s="58" t="s">
        <v>167</v>
      </c>
    </row>
    <row r="54" spans="1:2" ht="15.75" customHeight="1" collapsed="1" x14ac:dyDescent="0.3">
      <c r="A54" s="74" t="s">
        <v>199</v>
      </c>
      <c r="B54" s="58"/>
    </row>
    <row r="55" spans="1:2" ht="27.6" hidden="1" outlineLevel="1" x14ac:dyDescent="0.3">
      <c r="A55" s="73"/>
      <c r="B55" s="58" t="s">
        <v>188</v>
      </c>
    </row>
    <row r="56" spans="1:2" x14ac:dyDescent="0.3">
      <c r="A56" s="73"/>
      <c r="B56" s="58"/>
    </row>
    <row r="57" spans="1:2" x14ac:dyDescent="0.3">
      <c r="A57" s="76"/>
      <c r="B57" s="61"/>
    </row>
    <row r="60" spans="1:2" x14ac:dyDescent="0.3">
      <c r="B60" s="62"/>
    </row>
  </sheetData>
  <mergeCells count="5">
    <mergeCell ref="A16:B16"/>
    <mergeCell ref="A4:B4"/>
    <mergeCell ref="A19:B19"/>
    <mergeCell ref="A2:B2"/>
    <mergeCell ref="A1:B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
  <sheetViews>
    <sheetView workbookViewId="0"/>
  </sheetViews>
  <sheetFormatPr defaultRowHeight="14.4" x14ac:dyDescent="0.3"/>
  <cols>
    <col min="1" max="1" width="4.5546875" style="163" bestFit="1" customWidth="1"/>
    <col min="2" max="2" width="10.109375" style="164" bestFit="1" customWidth="1"/>
    <col min="3" max="3" width="16.33203125" style="166" bestFit="1" customWidth="1"/>
  </cols>
  <sheetData>
    <row r="1" spans="1:9" s="34" customFormat="1" x14ac:dyDescent="0.3">
      <c r="A1" s="167" t="s">
        <v>210</v>
      </c>
      <c r="B1" s="168" t="s">
        <v>211</v>
      </c>
      <c r="C1" s="169" t="s">
        <v>150</v>
      </c>
      <c r="D1" s="35" t="s">
        <v>98</v>
      </c>
      <c r="E1" s="35"/>
      <c r="F1" s="35"/>
      <c r="G1" s="35"/>
      <c r="H1" s="35"/>
      <c r="I1" s="35"/>
    </row>
    <row r="2" spans="1:9" x14ac:dyDescent="0.3">
      <c r="B2" s="164" t="s">
        <v>236</v>
      </c>
      <c r="C2" s="165"/>
      <c r="D2" t="s">
        <v>97</v>
      </c>
    </row>
    <row r="3" spans="1:9" x14ac:dyDescent="0.3">
      <c r="D3" t="s">
        <v>68</v>
      </c>
    </row>
    <row r="4" spans="1:9" x14ac:dyDescent="0.3">
      <c r="D4" t="s">
        <v>99</v>
      </c>
    </row>
    <row r="5" spans="1:9" x14ac:dyDescent="0.3">
      <c r="D5" t="s">
        <v>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7"/>
  <sheetViews>
    <sheetView workbookViewId="0"/>
  </sheetViews>
  <sheetFormatPr defaultRowHeight="14.4" x14ac:dyDescent="0.3"/>
  <cols>
    <col min="1" max="1" width="8.88671875" style="79"/>
  </cols>
  <sheetData>
    <row r="1" spans="1:9" s="34" customFormat="1" x14ac:dyDescent="0.3">
      <c r="A1" s="171"/>
      <c r="B1" s="89" t="s">
        <v>239</v>
      </c>
      <c r="C1" s="35"/>
      <c r="D1" s="35"/>
      <c r="E1" s="35"/>
      <c r="F1" s="35"/>
      <c r="G1" s="35"/>
      <c r="H1" s="35"/>
      <c r="I1" s="35"/>
    </row>
    <row r="2" spans="1:9" x14ac:dyDescent="0.3">
      <c r="A2" s="162"/>
      <c r="B2" s="170"/>
      <c r="C2" t="s">
        <v>238</v>
      </c>
    </row>
    <row r="5" spans="1:9" x14ac:dyDescent="0.3">
      <c r="C5" t="s">
        <v>237</v>
      </c>
    </row>
    <row r="6" spans="1:9" x14ac:dyDescent="0.3">
      <c r="C6" t="s">
        <v>240</v>
      </c>
    </row>
    <row r="7" spans="1:9" x14ac:dyDescent="0.3">
      <c r="C7" t="s">
        <v>241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MacroHelp</vt:lpstr>
      <vt:lpstr>structure</vt:lpstr>
      <vt:lpstr>tools</vt:lpstr>
      <vt:lpstr>FAQ</vt:lpstr>
      <vt:lpstr>inputEMPL</vt:lpstr>
      <vt:lpstr>SAM&gt;&gt;</vt:lpstr>
      <vt:lpstr>dollars</vt:lpstr>
      <vt:lpstr>mergeHouseholds</vt:lpstr>
      <vt:lpstr>structure</vt:lpstr>
    </vt:vector>
  </TitlesOfParts>
  <Company>University of Idaho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wim</dc:creator>
  <cp:lastModifiedBy>willem braak</cp:lastModifiedBy>
  <cp:lastPrinted>2010-10-04T18:26:19Z</cp:lastPrinted>
  <dcterms:created xsi:type="dcterms:W3CDTF">2010-03-03T03:05:32Z</dcterms:created>
  <dcterms:modified xsi:type="dcterms:W3CDTF">2015-11-24T03:04:35Z</dcterms:modified>
</cp:coreProperties>
</file>